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firstSheet="2" activeTab="1"/>
  </bookViews>
  <sheets>
    <sheet name="bike_buyers" sheetId="1" r:id="rId1"/>
    <sheet name="Dashboard" sheetId="2" r:id="rId2"/>
    <sheet name="Pivot Table " sheetId="3" r:id="rId3"/>
    <sheet name="Working Sheet" sheetId="4" r:id="rId4"/>
  </sheets>
  <definedNames>
    <definedName name="_xlnm._FilterDatabase" localSheetId="0" hidden="1">bike_buyers!$A$1:$M$1001</definedName>
    <definedName name="_xlnm._FilterDatabase" localSheetId="3" hidden="1">'Working Sheet'!$A$1:$O$1001</definedName>
    <definedName name="Slicer_Marital_Status">#N/A</definedName>
    <definedName name="Slicer_Gender">#N/A</definedName>
    <definedName name="Slicer_Region">#N/A</definedName>
    <definedName name="Slicer_Purchased_Bik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<sst xmlns="http://schemas.openxmlformats.org/spreadsheetml/2006/main" count="16360" uniqueCount="75">
  <si>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</si>
  <si>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</si>
  <si>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</si>
  <si>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</si>
  <si>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</si>
  <si>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</si>
  <si>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</si>
  <si>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</si>
  <si>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</si>
  <si>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</si>
  <si>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</si>
  <si>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</si>
  <si>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</si>
  <si>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</si>
  <si>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</si>
  <si>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</si>
  <si>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</si>
  <si>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</si>
  <si>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</si>
  <si>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</si>
  <si>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</si>
  <si>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</si>
  <si>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</si>
  <si>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</si>
  <si>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</si>
  <si>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</si>
  <si>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</si>
  <si>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</si>
  <si>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</si>
  <si>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</si>
  <si>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</si>
  <si>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</si>
  <si>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</si>
  <si>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</si>
  <si>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</si>
  <si>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</si>
  <si>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No.</t>
  </si>
  <si>
    <t>Percent</t>
  </si>
  <si>
    <t>Non-Buyers</t>
  </si>
  <si>
    <t>Buyers</t>
  </si>
  <si>
    <t>Grand Total</t>
  </si>
  <si>
    <t>.</t>
  </si>
  <si>
    <t>Average Age</t>
  </si>
  <si>
    <t>Bike Buyers</t>
  </si>
  <si>
    <t>Count of Purchased Bike</t>
  </si>
  <si>
    <t>Age Brackets</t>
  </si>
  <si>
    <t>Middle-Aged</t>
  </si>
  <si>
    <t>Female</t>
  </si>
  <si>
    <t>Seniors</t>
  </si>
  <si>
    <t>Male</t>
  </si>
  <si>
    <t>Young Adults</t>
  </si>
  <si>
    <t>Metrics</t>
  </si>
  <si>
    <t>Non-buyers</t>
  </si>
  <si>
    <t>Customer Count</t>
  </si>
  <si>
    <t>Average Income</t>
  </si>
  <si>
    <t>Average no. of Cars</t>
  </si>
  <si>
    <t>Average no. of Children</t>
  </si>
  <si>
    <t>Combined Analysis</t>
  </si>
  <si>
    <t>(ALL)</t>
  </si>
  <si>
    <t>Column Labels</t>
  </si>
  <si>
    <t>Row Labels</t>
  </si>
  <si>
    <t>More than 10 miles</t>
  </si>
  <si>
    <t>No. of Cars</t>
  </si>
  <si>
    <t>Married</t>
  </si>
  <si>
    <t>Single</t>
  </si>
  <si>
    <t>Count of Purchased Bike2</t>
  </si>
  <si>
    <t>Income Bracket</t>
  </si>
  <si>
    <t>High Income</t>
  </si>
  <si>
    <t>Low Income</t>
  </si>
  <si>
    <t>Moderate Income</t>
  </si>
  <si>
    <t>Count of ID</t>
  </si>
  <si>
    <t>Column1</t>
  </si>
  <si>
    <t>Percent of total sales</t>
  </si>
  <si>
    <t>Column2</t>
  </si>
  <si>
    <t>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</si>
</sst>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_);[Red]\(0\)"/>
    <numFmt numFmtId="180" formatCode="0.00_ "/>
    <numFmt numFmtId="181" formatCode="0.00_);[Red]\(0.00\)"/>
    <numFmt numFmtId="182" formatCode="&quot;$&quot;#,##0.00"/>
  </numFmts>
  <fonts count="21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4">
    <xf numFmtId="0" fontId="0" fillId="0" borderId="0" xfId="0"/>
    <xf numFmtId="6" fontId="0" fillId="0" borderId="0" xfId="0" applyNumberFormat="1"/>
    <xf numFmtId="9" fontId="0" fillId="0" borderId="0" xfId="0" applyNumberFormat="1"/>
    <xf numFmtId="10" fontId="0" fillId="0" borderId="0" xfId="0" applyNumberFormat="1"/>
    <xf numFmtId="178" fontId="0" fillId="0" borderId="0" xfId="0" applyNumberFormat="1"/>
    <xf numFmtId="0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82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83" formatCode="0.0%"/>
    </dxf>
    <dxf>
      <numFmt numFmtId="9" formatCode="0%"/>
    </dxf>
    <dxf>
      <numFmt numFmtId="184" formatCode="0.0%"/>
    </dxf>
    <dxf>
      <numFmt numFmtId="9" formatCode="0%"/>
    </dxf>
    <dxf>
      <numFmt numFmtId="185" formatCode="0.0%"/>
    </dxf>
    <dxf>
      <numFmt numFmtId="9" formatCode="0%"/>
    </dxf>
    <dxf>
      <numFmt numFmtId="186" formatCode="0.0%"/>
    </dxf>
    <dxf>
      <numFmt numFmtId="9" formatCode="0%"/>
    </dxf>
    <dxf>
      <numFmt numFmtId="187" formatCode="0.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!Bike Purchase Distribution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Overall Customer Conversion Rate (48% Buyers)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'!$C$4</c:f>
              <c:strCache>
                <c:ptCount val="1"/>
                <c:pt idx="0">
                  <c:v>No.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85665857519116"/>
                  <c:y val="0.035825365698386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/>
                      <a:t>Non-Buyers52%</a:t>
                    </a:r>
                    <a:endParaRPr b="1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168386609615"/>
                      <c:h val="0.33164983164983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176049890797724"/>
                  <c:y val="0.01673216708876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/>
                      <a:t>Buyers48%</a:t>
                    </a:r>
                    <a:endParaRPr b="1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036108324975"/>
                      <c:h val="0.229758372191607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'!$B$5:$B$7</c:f>
              <c:strCache>
                <c:ptCount val="2"/>
                <c:pt idx="0">
                  <c:v>Non-Buyers</c:v>
                </c:pt>
                <c:pt idx="1">
                  <c:v>Buyers</c:v>
                </c:pt>
              </c:strCache>
            </c:strRef>
          </c:cat>
          <c:val>
            <c:numRef>
              <c:f>'Pivot Table '!$C$5:$C$7</c:f>
              <c:numCache>
                <c:formatCode>General</c:formatCode>
                <c:ptCount val="2"/>
                <c:pt idx="0">
                  <c:v>519</c:v>
                </c:pt>
                <c:pt idx="1">
                  <c:v>481</c:v>
                </c:pt>
              </c:numCache>
            </c:numRef>
          </c:val>
        </c:ser>
        <c:ser>
          <c:idx val="1"/>
          <c:order val="1"/>
          <c:tx>
            <c:strRef>
              <c:f>'Pivot Table '!$D$4</c:f>
              <c:strCache>
                <c:ptCount val="1"/>
                <c:pt idx="0">
                  <c:v>Percent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'!$B$5:$B$7</c:f>
              <c:strCache>
                <c:ptCount val="2"/>
                <c:pt idx="0">
                  <c:v>Non-Buyers</c:v>
                </c:pt>
                <c:pt idx="1">
                  <c:v>Buyers</c:v>
                </c:pt>
              </c:strCache>
            </c:strRef>
          </c:cat>
          <c:val>
            <c:numRef>
              <c:f>'Pivot Table '!$D$5:$D$7</c:f>
              <c:numCache>
                <c:formatCode>0%</c:formatCode>
                <c:ptCount val="2"/>
                <c:pt idx="0">
                  <c:v>0.519</c:v>
                </c:pt>
                <c:pt idx="1">
                  <c:v>0.481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1bbc32-70fa-4131-9984-d706b033f2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!Age × Commute Distance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Commute Distance Breakdown by Age Cohort</a:t>
            </a:r>
          </a:p>
        </c:rich>
      </c:tx>
      <c:layout>
        <c:manualLayout>
          <c:xMode val="edge"/>
          <c:yMode val="edge"/>
          <c:x val="0.270765156886711"/>
          <c:y val="0.0567551441265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75091799265606"/>
          <c:y val="0.178856828316645"/>
          <c:w val="0.596144430844553"/>
          <c:h val="0.72167227221245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'!$C$48:$C$49</c:f>
              <c:strCache>
                <c:ptCount val="1"/>
                <c:pt idx="0">
                  <c:v>Middle-Aged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'!$B$50:$B$55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'!$C$50:$C$55</c:f>
              <c:numCache>
                <c:formatCode>0%</c:formatCode>
                <c:ptCount val="5"/>
                <c:pt idx="0">
                  <c:v>0.302</c:v>
                </c:pt>
                <c:pt idx="1">
                  <c:v>0.138</c:v>
                </c:pt>
                <c:pt idx="2">
                  <c:v>0.134</c:v>
                </c:pt>
                <c:pt idx="3">
                  <c:v>0.123</c:v>
                </c:pt>
                <c:pt idx="4">
                  <c:v>0.078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'!$D$48:$D$49</c:f>
              <c:strCache>
                <c:ptCount val="1"/>
                <c:pt idx="0">
                  <c:v>Seniors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 '!$B$50:$B$55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'!$D$50:$D$55</c:f>
              <c:numCache>
                <c:formatCode>0%</c:formatCode>
                <c:ptCount val="5"/>
                <c:pt idx="0">
                  <c:v>0.025</c:v>
                </c:pt>
                <c:pt idx="1">
                  <c:v>0.015</c:v>
                </c:pt>
                <c:pt idx="2">
                  <c:v>0.013</c:v>
                </c:pt>
                <c:pt idx="3">
                  <c:v>0.032</c:v>
                </c:pt>
                <c:pt idx="4">
                  <c:v>0.03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 '!$E$48:$E$49</c:f>
              <c:strCache>
                <c:ptCount val="1"/>
                <c:pt idx="0">
                  <c:v>Young Adults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'Pivot Table '!$B$50:$B$55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'!$E$50:$E$55</c:f>
              <c:numCache>
                <c:formatCode>0%</c:formatCode>
                <c:ptCount val="5"/>
                <c:pt idx="0">
                  <c:v>0.039</c:v>
                </c:pt>
                <c:pt idx="1">
                  <c:v>0.016</c:v>
                </c:pt>
                <c:pt idx="2">
                  <c:v>0.015</c:v>
                </c:pt>
                <c:pt idx="3">
                  <c:v>0.037</c:v>
                </c:pt>
                <c:pt idx="4">
                  <c:v>0.003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89647"/>
        <c:axId val="416117074"/>
      </c:lineChart>
      <c:catAx>
        <c:axId val="27989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117074"/>
        <c:crosses val="autoZero"/>
        <c:auto val="1"/>
        <c:lblAlgn val="ctr"/>
        <c:lblOffset val="100"/>
        <c:noMultiLvlLbl val="0"/>
      </c:catAx>
      <c:valAx>
        <c:axId val="4161170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8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189445196211"/>
          <c:y val="0.295663795663796"/>
          <c:w val="0.171455862453236"/>
          <c:h val="0.17196317196317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8e8210-4b11-472d-a0c1-2f5918f3a1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!Cars × Commute Distance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Volume by Commute Distance &amp; No. of  cars owned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'!$C$59:$C$60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'!$C$61:$C$66</c:f>
              <c:numCache>
                <c:formatCode>0.00%</c:formatCode>
                <c:ptCount val="5"/>
                <c:pt idx="0">
                  <c:v>0.168</c:v>
                </c:pt>
                <c:pt idx="1">
                  <c:v>0.085</c:v>
                </c:pt>
                <c:pt idx="2">
                  <c:v>0.079</c:v>
                </c:pt>
                <c:pt idx="3">
                  <c:v>0.018</c:v>
                </c:pt>
                <c:pt idx="4">
                  <c:v>0.016</c:v>
                </c:pt>
              </c:numCache>
            </c:numRef>
          </c:val>
        </c:ser>
        <c:ser>
          <c:idx val="1"/>
          <c:order val="1"/>
          <c:tx>
            <c:strRef>
              <c:f>'Pivot Table '!$D$59:$D$60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'!$D$61:$D$66</c:f>
              <c:numCache>
                <c:formatCode>0.00%</c:formatCode>
                <c:ptCount val="5"/>
                <c:pt idx="0">
                  <c:v>0.031</c:v>
                </c:pt>
                <c:pt idx="1">
                  <c:v>0.048</c:v>
                </c:pt>
                <c:pt idx="2">
                  <c:v>0.075</c:v>
                </c:pt>
                <c:pt idx="3">
                  <c:v>0.008</c:v>
                </c:pt>
                <c:pt idx="4">
                  <c:v>0.007</c:v>
                </c:pt>
              </c:numCache>
            </c:numRef>
          </c:val>
        </c:ser>
        <c:ser>
          <c:idx val="2"/>
          <c:order val="2"/>
          <c:tx>
            <c:strRef>
              <c:f>'Pivot Table '!$E$59:$E$60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'!$E$61:$E$66</c:f>
              <c:numCache>
                <c:formatCode>0.00%</c:formatCode>
                <c:ptCount val="5"/>
                <c:pt idx="0">
                  <c:v>0.036</c:v>
                </c:pt>
                <c:pt idx="1">
                  <c:v>0.072</c:v>
                </c:pt>
                <c:pt idx="2">
                  <c:v>0.038</c:v>
                </c:pt>
                <c:pt idx="3">
                  <c:v>0.008</c:v>
                </c:pt>
                <c:pt idx="4">
                  <c:v>0.008</c:v>
                </c:pt>
              </c:numCache>
            </c:numRef>
          </c:val>
        </c:ser>
        <c:ser>
          <c:idx val="3"/>
          <c:order val="3"/>
          <c:tx>
            <c:strRef>
              <c:f>'Pivot Table '!$F$59:$F$60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'!$F$61:$F$66</c:f>
              <c:numCache>
                <c:formatCode>0.00%</c:formatCode>
                <c:ptCount val="5"/>
                <c:pt idx="0">
                  <c:v>0.008</c:v>
                </c:pt>
                <c:pt idx="1">
                  <c:v>0.049</c:v>
                </c:pt>
                <c:pt idx="2">
                  <c:v>0.107</c:v>
                </c:pt>
                <c:pt idx="3">
                  <c:v>0.019</c:v>
                </c:pt>
                <c:pt idx="4">
                  <c:v>0.009</c:v>
                </c:pt>
              </c:numCache>
            </c:numRef>
          </c:val>
        </c:ser>
        <c:ser>
          <c:idx val="4"/>
          <c:order val="4"/>
          <c:tx>
            <c:strRef>
              <c:f>'Pivot Table '!$G$59:$G$60</c:f>
              <c:strCache>
                <c:ptCount val="1"/>
                <c:pt idx="0">
                  <c:v>More than 10 miles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'!$G$61:$G$66</c:f>
              <c:numCache>
                <c:formatCode>0.00%</c:formatCode>
                <c:ptCount val="5"/>
                <c:pt idx="0">
                  <c:v>0.004</c:v>
                </c:pt>
                <c:pt idx="1">
                  <c:v>0.013</c:v>
                </c:pt>
                <c:pt idx="2">
                  <c:v>0.043</c:v>
                </c:pt>
                <c:pt idx="3">
                  <c:v>0.032</c:v>
                </c:pt>
                <c:pt idx="4">
                  <c:v>0.019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33632305"/>
        <c:axId val="927160397"/>
      </c:barChart>
      <c:catAx>
        <c:axId val="43363230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No. of cars owned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7160397"/>
        <c:crosses val="autoZero"/>
        <c:auto val="1"/>
        <c:lblAlgn val="ctr"/>
        <c:lblOffset val="100"/>
        <c:noMultiLvlLbl val="0"/>
      </c:catAx>
      <c:valAx>
        <c:axId val="9271603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632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351703503523"/>
          <c:y val="0.16186931348221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52a09c-4b51-45be-af50-959842be50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Volume by Income Bracket &amp; Age</a:t>
            </a:r>
          </a:p>
        </c:rich>
      </c:tx>
      <c:layout>
        <c:manualLayout>
          <c:xMode val="edge"/>
          <c:yMode val="edge"/>
          <c:x val="0.16679634453476"/>
          <c:y val="0.06307230623005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809954122063"/>
          <c:y val="0.259854005381049"/>
          <c:w val="0.577422494091478"/>
          <c:h val="0.5083815894617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'!$C$79:$C$80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'!$B$81:$B$84</c:f>
              <c:strCache>
                <c:ptCount val="3"/>
                <c:pt idx="0">
                  <c:v>Middle-Aged</c:v>
                </c:pt>
                <c:pt idx="1">
                  <c:v>Seniors</c:v>
                </c:pt>
                <c:pt idx="2">
                  <c:v>Young Adults</c:v>
                </c:pt>
              </c:strCache>
            </c:strRef>
          </c:cat>
          <c:val>
            <c:numRef>
              <c:f>'Pivot Table '!$C$81:$C$84</c:f>
              <c:numCache>
                <c:formatCode>0.00%</c:formatCode>
                <c:ptCount val="3"/>
                <c:pt idx="0">
                  <c:v>0.128</c:v>
                </c:pt>
                <c:pt idx="1">
                  <c:v>0.016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'Pivot Table '!$D$79:$D$80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'!$B$81:$B$84</c:f>
              <c:strCache>
                <c:ptCount val="3"/>
                <c:pt idx="0">
                  <c:v>Middle-Aged</c:v>
                </c:pt>
                <c:pt idx="1">
                  <c:v>Seniors</c:v>
                </c:pt>
                <c:pt idx="2">
                  <c:v>Young Adults</c:v>
                </c:pt>
              </c:strCache>
            </c:strRef>
          </c:cat>
          <c:val>
            <c:numRef>
              <c:f>'Pivot Table '!$D$81:$D$84</c:f>
              <c:numCache>
                <c:formatCode>0.00%</c:formatCode>
                <c:ptCount val="3"/>
                <c:pt idx="0">
                  <c:v>0.186</c:v>
                </c:pt>
                <c:pt idx="1">
                  <c:v>0.031</c:v>
                </c:pt>
                <c:pt idx="2">
                  <c:v>0.065</c:v>
                </c:pt>
              </c:numCache>
            </c:numRef>
          </c:val>
        </c:ser>
        <c:ser>
          <c:idx val="2"/>
          <c:order val="2"/>
          <c:tx>
            <c:strRef>
              <c:f>'Pivot Table '!$E$79:$E$80</c:f>
              <c:strCache>
                <c:ptCount val="1"/>
                <c:pt idx="0">
                  <c:v>Moderate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'!$B$81:$B$84</c:f>
              <c:strCache>
                <c:ptCount val="3"/>
                <c:pt idx="0">
                  <c:v>Middle-Aged</c:v>
                </c:pt>
                <c:pt idx="1">
                  <c:v>Seniors</c:v>
                </c:pt>
                <c:pt idx="2">
                  <c:v>Young Adults</c:v>
                </c:pt>
              </c:strCache>
            </c:strRef>
          </c:cat>
          <c:val>
            <c:numRef>
              <c:f>'Pivot Table '!$E$81:$E$84</c:f>
              <c:numCache>
                <c:formatCode>0.00%</c:formatCode>
                <c:ptCount val="3"/>
                <c:pt idx="0">
                  <c:v>0.461</c:v>
                </c:pt>
                <c:pt idx="1">
                  <c:v>0.068</c:v>
                </c:pt>
                <c:pt idx="2">
                  <c:v>0.045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45084699"/>
        <c:axId val="904254990"/>
      </c:barChart>
      <c:catAx>
        <c:axId val="8450846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254990"/>
        <c:crosses val="autoZero"/>
        <c:auto val="1"/>
        <c:lblAlgn val="ctr"/>
        <c:lblOffset val="100"/>
        <c:noMultiLvlLbl val="0"/>
      </c:catAx>
      <c:valAx>
        <c:axId val="9042549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0846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16cfa0-1d75-41ff-bf51-446fd045f4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Regional Customer Distribution</a:t>
            </a:r>
          </a:p>
        </c:rich>
      </c:tx>
      <c:layout>
        <c:manualLayout>
          <c:xMode val="edge"/>
          <c:yMode val="edge"/>
          <c:x val="0.212732095490716"/>
          <c:y val="0.04084901882258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'!$M$94:$M$95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'!$L$96:$L$99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 '!$M$96:$M$99</c:f>
              <c:numCache>
                <c:formatCode>0.00%</c:formatCode>
                <c:ptCount val="3"/>
                <c:pt idx="0">
                  <c:v>0.292870905587669</c:v>
                </c:pt>
                <c:pt idx="1">
                  <c:v>0.554913294797688</c:v>
                </c:pt>
                <c:pt idx="2">
                  <c:v>0.152215799614644</c:v>
                </c:pt>
              </c:numCache>
            </c:numRef>
          </c:val>
        </c:ser>
        <c:ser>
          <c:idx val="1"/>
          <c:order val="1"/>
          <c:tx>
            <c:strRef>
              <c:f>'Pivot Table '!$N$94:$N$95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2135835567471"/>
                  <c:y val="-0.1062104430379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202323503127793"/>
                  <c:y val="0.02788765822784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09651474530831"/>
                  <c:y val="-0.14556962025316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cd6b07-8d08-4d95-9505-88fafa361fea}" type="CATEGORYNAME">
                      <a:t>[CATEGORY NAME]</a:t>
                    </a:fld>
                    <a:r>
                      <a:t>,</a:t>
                    </a:r>
                    <a:fld id="{a2299b63-e0b0-41e1-94fc-cdc4be6c00b2}" type="VALUE">
                      <a:t>[VALUE]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'!$L$96:$L$99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 '!$N$96:$N$99</c:f>
              <c:numCache>
                <c:formatCode>0.00%</c:formatCode>
                <c:ptCount val="3"/>
                <c:pt idx="0">
                  <c:v>0.307692307692308</c:v>
                </c:pt>
                <c:pt idx="1">
                  <c:v>0.457380457380457</c:v>
                </c:pt>
                <c:pt idx="2">
                  <c:v>0.234927234927235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11396011396"/>
          <c:y val="0.469546178343949"/>
          <c:w val="0.268518518518519"/>
          <c:h val="0.19167993630573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e0190d-a67e-461a-b4f7-5bb203e865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Dataset.xlsx]Pivot Table !Bike Purchase Distribution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'!$C$4</c:f>
              <c:strCache>
                <c:ptCount val="1"/>
                <c:pt idx="0">
                  <c:v>No.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'!$B$5:$B$7</c:f>
              <c:strCache>
                <c:ptCount val="2"/>
                <c:pt idx="0">
                  <c:v>Non-Buyers</c:v>
                </c:pt>
                <c:pt idx="1">
                  <c:v>Buyers</c:v>
                </c:pt>
              </c:strCache>
            </c:strRef>
          </c:cat>
          <c:val>
            <c:numRef>
              <c:f>'Pivot Table '!$C$5:$C$7</c:f>
              <c:numCache>
                <c:formatCode>General</c:formatCode>
                <c:ptCount val="2"/>
                <c:pt idx="0">
                  <c:v>519</c:v>
                </c:pt>
                <c:pt idx="1">
                  <c:v>481</c:v>
                </c:pt>
              </c:numCache>
            </c:numRef>
          </c:val>
        </c:ser>
        <c:ser>
          <c:idx val="1"/>
          <c:order val="1"/>
          <c:tx>
            <c:strRef>
              <c:f>'Pivot Table '!$D$4</c:f>
              <c:strCache>
                <c:ptCount val="1"/>
                <c:pt idx="0">
                  <c:v>Percent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'!$B$5:$B$7</c:f>
              <c:strCache>
                <c:ptCount val="2"/>
                <c:pt idx="0">
                  <c:v>Non-Buyers</c:v>
                </c:pt>
                <c:pt idx="1">
                  <c:v>Buyers</c:v>
                </c:pt>
              </c:strCache>
            </c:strRef>
          </c:cat>
          <c:val>
            <c:numRef>
              <c:f>'Pivot Table '!$D$5:$D$7</c:f>
              <c:numCache>
                <c:formatCode>0%</c:formatCode>
                <c:ptCount val="2"/>
                <c:pt idx="0">
                  <c:v>0.519</c:v>
                </c:pt>
                <c:pt idx="1">
                  <c:v>0.481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1bbc32-70fa-4131-9984-d706b033f2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!Age × Commute Distance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'!$C$48:$C$49</c:f>
              <c:strCache>
                <c:ptCount val="1"/>
                <c:pt idx="0">
                  <c:v>Middle-Aged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'!$B$50:$B$55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'!$C$50:$C$55</c:f>
              <c:numCache>
                <c:formatCode>0%</c:formatCode>
                <c:ptCount val="5"/>
                <c:pt idx="0">
                  <c:v>0.302</c:v>
                </c:pt>
                <c:pt idx="1">
                  <c:v>0.138</c:v>
                </c:pt>
                <c:pt idx="2">
                  <c:v>0.134</c:v>
                </c:pt>
                <c:pt idx="3">
                  <c:v>0.123</c:v>
                </c:pt>
                <c:pt idx="4">
                  <c:v>0.078</c:v>
                </c:pt>
              </c:numCache>
            </c:numRef>
          </c:val>
        </c:ser>
        <c:ser>
          <c:idx val="1"/>
          <c:order val="1"/>
          <c:tx>
            <c:strRef>
              <c:f>'Pivot Table '!$D$48:$D$49</c:f>
              <c:strCache>
                <c:ptCount val="1"/>
                <c:pt idx="0">
                  <c:v>Seniors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'!$B$50:$B$55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'!$D$50:$D$55</c:f>
              <c:numCache>
                <c:formatCode>0%</c:formatCode>
                <c:ptCount val="5"/>
                <c:pt idx="0">
                  <c:v>0.025</c:v>
                </c:pt>
                <c:pt idx="1">
                  <c:v>0.015</c:v>
                </c:pt>
                <c:pt idx="2">
                  <c:v>0.013</c:v>
                </c:pt>
                <c:pt idx="3">
                  <c:v>0.032</c:v>
                </c:pt>
                <c:pt idx="4">
                  <c:v>0.03</c:v>
                </c:pt>
              </c:numCache>
            </c:numRef>
          </c:val>
        </c:ser>
        <c:ser>
          <c:idx val="2"/>
          <c:order val="2"/>
          <c:tx>
            <c:strRef>
              <c:f>'Pivot Table '!$E$48:$E$49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'!$B$50:$B$55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'!$E$50:$E$55</c:f>
              <c:numCache>
                <c:formatCode>0%</c:formatCode>
                <c:ptCount val="5"/>
                <c:pt idx="0">
                  <c:v>0.039</c:v>
                </c:pt>
                <c:pt idx="1">
                  <c:v>0.016</c:v>
                </c:pt>
                <c:pt idx="2">
                  <c:v>0.015</c:v>
                </c:pt>
                <c:pt idx="3">
                  <c:v>0.037</c:v>
                </c:pt>
                <c:pt idx="4">
                  <c:v>0.003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989647"/>
        <c:axId val="416117074"/>
      </c:barChart>
      <c:catAx>
        <c:axId val="27989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117074"/>
        <c:crosses val="autoZero"/>
        <c:auto val="1"/>
        <c:lblAlgn val="ctr"/>
        <c:lblOffset val="100"/>
        <c:noMultiLvlLbl val="0"/>
      </c:catAx>
      <c:valAx>
        <c:axId val="4161170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8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8e8210-4b11-472d-a0c1-2f5918f3a1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!Cars × Commute Distance</c:name>
    <c:fmtId val="0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'!$C$59:$C$60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'!$C$61:$C$66</c:f>
              <c:numCache>
                <c:formatCode>0.00%</c:formatCode>
                <c:ptCount val="5"/>
                <c:pt idx="0">
                  <c:v>0.168</c:v>
                </c:pt>
                <c:pt idx="1">
                  <c:v>0.085</c:v>
                </c:pt>
                <c:pt idx="2">
                  <c:v>0.079</c:v>
                </c:pt>
                <c:pt idx="3">
                  <c:v>0.018</c:v>
                </c:pt>
                <c:pt idx="4">
                  <c:v>0.016</c:v>
                </c:pt>
              </c:numCache>
            </c:numRef>
          </c:val>
        </c:ser>
        <c:ser>
          <c:idx val="1"/>
          <c:order val="1"/>
          <c:tx>
            <c:strRef>
              <c:f>'Pivot Table '!$D$59:$D$60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'!$D$61:$D$66</c:f>
              <c:numCache>
                <c:formatCode>0.00%</c:formatCode>
                <c:ptCount val="5"/>
                <c:pt idx="0">
                  <c:v>0.031</c:v>
                </c:pt>
                <c:pt idx="1">
                  <c:v>0.048</c:v>
                </c:pt>
                <c:pt idx="2">
                  <c:v>0.075</c:v>
                </c:pt>
                <c:pt idx="3">
                  <c:v>0.008</c:v>
                </c:pt>
                <c:pt idx="4">
                  <c:v>0.007</c:v>
                </c:pt>
              </c:numCache>
            </c:numRef>
          </c:val>
        </c:ser>
        <c:ser>
          <c:idx val="2"/>
          <c:order val="2"/>
          <c:tx>
            <c:strRef>
              <c:f>'Pivot Table '!$E$59:$E$60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'!$E$61:$E$66</c:f>
              <c:numCache>
                <c:formatCode>0.00%</c:formatCode>
                <c:ptCount val="5"/>
                <c:pt idx="0">
                  <c:v>0.036</c:v>
                </c:pt>
                <c:pt idx="1">
                  <c:v>0.072</c:v>
                </c:pt>
                <c:pt idx="2">
                  <c:v>0.038</c:v>
                </c:pt>
                <c:pt idx="3">
                  <c:v>0.008</c:v>
                </c:pt>
                <c:pt idx="4">
                  <c:v>0.008</c:v>
                </c:pt>
              </c:numCache>
            </c:numRef>
          </c:val>
        </c:ser>
        <c:ser>
          <c:idx val="3"/>
          <c:order val="3"/>
          <c:tx>
            <c:strRef>
              <c:f>'Pivot Table '!$F$59:$F$60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'!$F$61:$F$66</c:f>
              <c:numCache>
                <c:formatCode>0.00%</c:formatCode>
                <c:ptCount val="5"/>
                <c:pt idx="0">
                  <c:v>0.008</c:v>
                </c:pt>
                <c:pt idx="1">
                  <c:v>0.049</c:v>
                </c:pt>
                <c:pt idx="2">
                  <c:v>0.107</c:v>
                </c:pt>
                <c:pt idx="3">
                  <c:v>0.019</c:v>
                </c:pt>
                <c:pt idx="4">
                  <c:v>0.009</c:v>
                </c:pt>
              </c:numCache>
            </c:numRef>
          </c:val>
        </c:ser>
        <c:ser>
          <c:idx val="4"/>
          <c:order val="4"/>
          <c:tx>
            <c:strRef>
              <c:f>'Pivot Table '!$G$59:$G$60</c:f>
              <c:strCache>
                <c:ptCount val="1"/>
                <c:pt idx="0">
                  <c:v>More than 10 miles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'!$B$61:$B$66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 '!$G$61:$G$66</c:f>
              <c:numCache>
                <c:formatCode>0.00%</c:formatCode>
                <c:ptCount val="5"/>
                <c:pt idx="0">
                  <c:v>0.004</c:v>
                </c:pt>
                <c:pt idx="1">
                  <c:v>0.013</c:v>
                </c:pt>
                <c:pt idx="2">
                  <c:v>0.043</c:v>
                </c:pt>
                <c:pt idx="3">
                  <c:v>0.032</c:v>
                </c:pt>
                <c:pt idx="4">
                  <c:v>0.019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33632305"/>
        <c:axId val="927160397"/>
      </c:barChart>
      <c:catAx>
        <c:axId val="43363230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No. of cars owned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7160397"/>
        <c:crosses val="autoZero"/>
        <c:auto val="1"/>
        <c:lblAlgn val="ctr"/>
        <c:lblOffset val="100"/>
        <c:noMultiLvlLbl val="0"/>
      </c:catAx>
      <c:valAx>
        <c:axId val="9271603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632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52a09c-4b51-45be-af50-959842be50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18809954122063"/>
          <c:y val="0.259854005381049"/>
          <c:w val="0.577422494091478"/>
          <c:h val="0.50838158946177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'!$C$79:$C$80</c:f>
              <c:strCache>
                <c:ptCount val="1"/>
                <c:pt idx="0">
                  <c:v>High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'!$B$81:$B$84</c:f>
              <c:strCache>
                <c:ptCount val="3"/>
                <c:pt idx="0">
                  <c:v>Middle-Aged</c:v>
                </c:pt>
                <c:pt idx="1">
                  <c:v>Seniors</c:v>
                </c:pt>
                <c:pt idx="2">
                  <c:v>Young Adults</c:v>
                </c:pt>
              </c:strCache>
            </c:strRef>
          </c:cat>
          <c:val>
            <c:numRef>
              <c:f>'Pivot Table '!$C$81:$C$84</c:f>
              <c:numCache>
                <c:formatCode>0.00%</c:formatCode>
                <c:ptCount val="3"/>
                <c:pt idx="0">
                  <c:v>0.128</c:v>
                </c:pt>
                <c:pt idx="1">
                  <c:v>0.016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'!$D$79:$D$80</c:f>
              <c:strCache>
                <c:ptCount val="1"/>
                <c:pt idx="0">
                  <c:v>Low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'!$B$81:$B$84</c:f>
              <c:strCache>
                <c:ptCount val="3"/>
                <c:pt idx="0">
                  <c:v>Middle-Aged</c:v>
                </c:pt>
                <c:pt idx="1">
                  <c:v>Seniors</c:v>
                </c:pt>
                <c:pt idx="2">
                  <c:v>Young Adults</c:v>
                </c:pt>
              </c:strCache>
            </c:strRef>
          </c:cat>
          <c:val>
            <c:numRef>
              <c:f>'Pivot Table '!$D$81:$D$84</c:f>
              <c:numCache>
                <c:formatCode>0.00%</c:formatCode>
                <c:ptCount val="3"/>
                <c:pt idx="0">
                  <c:v>0.186</c:v>
                </c:pt>
                <c:pt idx="1">
                  <c:v>0.031</c:v>
                </c:pt>
                <c:pt idx="2">
                  <c:v>0.065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 '!$E$79:$E$80</c:f>
              <c:strCache>
                <c:ptCount val="1"/>
                <c:pt idx="0">
                  <c:v>Moderate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 '!$B$81:$B$84</c:f>
              <c:strCache>
                <c:ptCount val="3"/>
                <c:pt idx="0">
                  <c:v>Middle-Aged</c:v>
                </c:pt>
                <c:pt idx="1">
                  <c:v>Seniors</c:v>
                </c:pt>
                <c:pt idx="2">
                  <c:v>Young Adults</c:v>
                </c:pt>
              </c:strCache>
            </c:strRef>
          </c:cat>
          <c:val>
            <c:numRef>
              <c:f>'Pivot Table '!$E$81:$E$84</c:f>
              <c:numCache>
                <c:formatCode>0.00%</c:formatCode>
                <c:ptCount val="3"/>
                <c:pt idx="0">
                  <c:v>0.461</c:v>
                </c:pt>
                <c:pt idx="1">
                  <c:v>0.068</c:v>
                </c:pt>
                <c:pt idx="2">
                  <c:v>0.045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084699"/>
        <c:axId val="904254990"/>
      </c:lineChart>
      <c:catAx>
        <c:axId val="8450846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254990"/>
        <c:crosses val="autoZero"/>
        <c:auto val="1"/>
        <c:lblAlgn val="ctr"/>
        <c:lblOffset val="100"/>
        <c:noMultiLvlLbl val="0"/>
      </c:catAx>
      <c:valAx>
        <c:axId val="9042549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0846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Regional Customer Distribution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'!$M$94:$M$95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'!$L$96:$L$99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 '!$M$96:$M$99</c:f>
              <c:numCache>
                <c:formatCode>0.00%</c:formatCode>
                <c:ptCount val="3"/>
                <c:pt idx="0">
                  <c:v>0.292870905587669</c:v>
                </c:pt>
                <c:pt idx="1">
                  <c:v>0.554913294797688</c:v>
                </c:pt>
                <c:pt idx="2">
                  <c:v>0.152215799614644</c:v>
                </c:pt>
              </c:numCache>
            </c:numRef>
          </c:val>
        </c:ser>
        <c:ser>
          <c:idx val="1"/>
          <c:order val="1"/>
          <c:tx>
            <c:strRef>
              <c:f>'Pivot Table '!$N$94:$N$95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'!$L$96:$L$99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 '!$N$96:$N$99</c:f>
              <c:numCache>
                <c:formatCode>0.00%</c:formatCode>
                <c:ptCount val="3"/>
                <c:pt idx="0">
                  <c:v>0.307692307692308</c:v>
                </c:pt>
                <c:pt idx="1">
                  <c:v>0.457380457380457</c:v>
                </c:pt>
                <c:pt idx="2">
                  <c:v>0.234927234927235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'!$M$94:$M$95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'!$L$96:$L$99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 '!$M$96:$M$99</c:f>
              <c:numCache>
                <c:formatCode>0.00%</c:formatCode>
                <c:ptCount val="3"/>
                <c:pt idx="0">
                  <c:v>0.292870905587669</c:v>
                </c:pt>
                <c:pt idx="1">
                  <c:v>0.554913294797688</c:v>
                </c:pt>
                <c:pt idx="2">
                  <c:v>0.152215799614644</c:v>
                </c:pt>
              </c:numCache>
            </c:numRef>
          </c:val>
        </c:ser>
        <c:ser>
          <c:idx val="1"/>
          <c:order val="1"/>
          <c:tx>
            <c:strRef>
              <c:f>'Pivot Table '!$N$94:$N$95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'!$L$96:$L$99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 '!$N$96:$N$99</c:f>
              <c:numCache>
                <c:formatCode>0.00%</c:formatCode>
                <c:ptCount val="3"/>
                <c:pt idx="0">
                  <c:v>0.307692307692308</c:v>
                </c:pt>
                <c:pt idx="1">
                  <c:v>0.457380457380457</c:v>
                </c:pt>
                <c:pt idx="2">
                  <c:v>0.234927234927235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110910"/>
        <c:axId val="305940622"/>
      </c:barChart>
      <c:catAx>
        <c:axId val="2381109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940622"/>
        <c:crosses val="autoZero"/>
        <c:auto val="1"/>
        <c:lblAlgn val="ctr"/>
        <c:lblOffset val="100"/>
        <c:noMultiLvlLbl val="0"/>
      </c:catAx>
      <c:valAx>
        <c:axId val="3059406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1109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433705</xdr:colOff>
      <xdr:row>12</xdr:row>
      <xdr:rowOff>81280</xdr:rowOff>
    </xdr:from>
    <xdr:to>
      <xdr:col>32</xdr:col>
      <xdr:colOff>36195</xdr:colOff>
      <xdr:row>16</xdr:row>
      <xdr:rowOff>168910</xdr:rowOff>
    </xdr:to>
    <xdr:sp>
      <xdr:nvSpPr>
        <xdr:cNvPr id="2" name="Rounded Rectangle 1"/>
        <xdr:cNvSpPr/>
      </xdr:nvSpPr>
      <xdr:spPr>
        <a:xfrm>
          <a:off x="3481705" y="2367280"/>
          <a:ext cx="16061690" cy="84963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2800"/>
            <a:t>Bike Purchase Behaviour Analysis</a:t>
          </a:r>
          <a:endParaRPr lang="en-US" sz="2800"/>
        </a:p>
      </xdr:txBody>
    </xdr:sp>
    <xdr:clientData/>
  </xdr:twoCellAnchor>
  <xdr:twoCellAnchor>
    <xdr:from>
      <xdr:col>8</xdr:col>
      <xdr:colOff>384175</xdr:colOff>
      <xdr:row>16</xdr:row>
      <xdr:rowOff>186055</xdr:rowOff>
    </xdr:from>
    <xdr:to>
      <xdr:col>13</xdr:col>
      <xdr:colOff>514985</xdr:colOff>
      <xdr:row>32</xdr:row>
      <xdr:rowOff>96520</xdr:rowOff>
    </xdr:to>
    <xdr:graphicFrame>
      <xdr:nvGraphicFramePr>
        <xdr:cNvPr id="3" name="Chart 2"/>
        <xdr:cNvGraphicFramePr/>
      </xdr:nvGraphicFramePr>
      <xdr:xfrm>
        <a:off x="5260975" y="3234055"/>
        <a:ext cx="3178810" cy="3085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387985</xdr:colOff>
      <xdr:row>32</xdr:row>
      <xdr:rowOff>140970</xdr:rowOff>
    </xdr:from>
    <xdr:to>
      <xdr:col>21</xdr:col>
      <xdr:colOff>393065</xdr:colOff>
      <xdr:row>54</xdr:row>
      <xdr:rowOff>111125</xdr:rowOff>
    </xdr:to>
    <xdr:graphicFrame>
      <xdr:nvGraphicFramePr>
        <xdr:cNvPr id="4" name="Chart 3"/>
        <xdr:cNvGraphicFramePr/>
      </xdr:nvGraphicFramePr>
      <xdr:xfrm>
        <a:off x="5264785" y="6363970"/>
        <a:ext cx="7929880" cy="4161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461010</xdr:colOff>
      <xdr:row>32</xdr:row>
      <xdr:rowOff>155575</xdr:rowOff>
    </xdr:from>
    <xdr:to>
      <xdr:col>32</xdr:col>
      <xdr:colOff>294640</xdr:colOff>
      <xdr:row>54</xdr:row>
      <xdr:rowOff>162560</xdr:rowOff>
    </xdr:to>
    <xdr:graphicFrame>
      <xdr:nvGraphicFramePr>
        <xdr:cNvPr id="5" name="Chart 4"/>
        <xdr:cNvGraphicFramePr/>
      </xdr:nvGraphicFramePr>
      <xdr:xfrm>
        <a:off x="13262610" y="6378575"/>
        <a:ext cx="6539230" cy="4197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551180</xdr:colOff>
      <xdr:row>17</xdr:row>
      <xdr:rowOff>29845</xdr:rowOff>
    </xdr:from>
    <xdr:to>
      <xdr:col>21</xdr:col>
      <xdr:colOff>270510</xdr:colOff>
      <xdr:row>32</xdr:row>
      <xdr:rowOff>114935</xdr:rowOff>
    </xdr:to>
    <xdr:graphicFrame>
      <xdr:nvGraphicFramePr>
        <xdr:cNvPr id="6" name="Chart 5"/>
        <xdr:cNvGraphicFramePr/>
      </xdr:nvGraphicFramePr>
      <xdr:xfrm>
        <a:off x="8475980" y="3268345"/>
        <a:ext cx="4596130" cy="3069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269240</xdr:colOff>
      <xdr:row>17</xdr:row>
      <xdr:rowOff>12065</xdr:rowOff>
    </xdr:from>
    <xdr:to>
      <xdr:col>27</xdr:col>
      <xdr:colOff>156210</xdr:colOff>
      <xdr:row>32</xdr:row>
      <xdr:rowOff>149225</xdr:rowOff>
    </xdr:to>
    <xdr:graphicFrame>
      <xdr:nvGraphicFramePr>
        <xdr:cNvPr id="7" name="Chart 6"/>
        <xdr:cNvGraphicFramePr/>
      </xdr:nvGraphicFramePr>
      <xdr:xfrm>
        <a:off x="13070840" y="3250565"/>
        <a:ext cx="3544570" cy="3121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304165</xdr:colOff>
      <xdr:row>17</xdr:row>
      <xdr:rowOff>48895</xdr:rowOff>
    </xdr:from>
    <xdr:to>
      <xdr:col>32</xdr:col>
      <xdr:colOff>367030</xdr:colOff>
      <xdr:row>30</xdr:row>
      <xdr:rowOff>80010</xdr:rowOff>
    </xdr:to>
    <xdr:sp>
      <xdr:nvSpPr>
        <xdr:cNvPr id="11" name="Rounded Rectangle 10"/>
        <xdr:cNvSpPr/>
      </xdr:nvSpPr>
      <xdr:spPr>
        <a:xfrm>
          <a:off x="16763365" y="3287395"/>
          <a:ext cx="3110865" cy="263461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800" b="1">
              <a:solidFill>
                <a:schemeClr val="bg1"/>
              </a:solidFill>
            </a:rPr>
            <a:t>Summary Metrics:</a:t>
          </a:r>
          <a:endParaRPr lang="en-US" sz="1800" b="1">
            <a:solidFill>
              <a:schemeClr val="bg1"/>
            </a:solidFill>
          </a:endParaRPr>
        </a:p>
        <a:p>
          <a:pPr algn="ctr"/>
          <a:endParaRPr lang="en-US" sz="1000" b="1">
            <a:solidFill>
              <a:schemeClr val="bg1"/>
            </a:solidFill>
          </a:endParaRPr>
        </a:p>
        <a:p>
          <a:pPr algn="ctr"/>
          <a:r>
            <a:rPr lang="en-US" sz="1800" b="1">
              <a:solidFill>
                <a:schemeClr val="bg1"/>
              </a:solidFill>
            </a:rPr>
            <a:t>Total Customers: 1,000   </a:t>
          </a:r>
          <a:endParaRPr lang="en-US" sz="1800" b="1">
            <a:solidFill>
              <a:schemeClr val="bg1"/>
            </a:solidFill>
          </a:endParaRPr>
        </a:p>
        <a:p>
          <a:pPr algn="ctr"/>
          <a:endParaRPr lang="en-US" sz="1200" b="1">
            <a:solidFill>
              <a:schemeClr val="bg1"/>
            </a:solidFill>
          </a:endParaRPr>
        </a:p>
        <a:p>
          <a:pPr algn="ctr"/>
          <a:r>
            <a:rPr lang="en-US" sz="1800" b="1">
              <a:solidFill>
                <a:schemeClr val="bg1"/>
              </a:solidFill>
            </a:rPr>
            <a:t>Total Buyers: 481 (48.1%)</a:t>
          </a:r>
          <a:endParaRPr lang="en-US" sz="1800" b="1">
            <a:solidFill>
              <a:schemeClr val="bg1"/>
            </a:solidFill>
          </a:endParaRPr>
        </a:p>
        <a:p>
          <a:pPr algn="ctr"/>
          <a:endParaRPr lang="en-US" sz="1200" b="1">
            <a:solidFill>
              <a:schemeClr val="bg1"/>
            </a:solidFill>
          </a:endParaRPr>
        </a:p>
        <a:p>
          <a:pPr algn="ctr"/>
          <a:r>
            <a:rPr lang="en-US" sz="1800" b="1">
              <a:solidFill>
                <a:schemeClr val="bg1"/>
              </a:solidFill>
            </a:rPr>
            <a:t>Avg Buyer Income: $57,963</a:t>
          </a:r>
          <a:endParaRPr lang="en-US" sz="1800" b="1">
            <a:solidFill>
              <a:schemeClr val="bg1"/>
            </a:solidFill>
          </a:endParaRPr>
        </a:p>
        <a:p>
          <a:pPr algn="ctr"/>
          <a:endParaRPr lang="en-US" sz="1200" b="1">
            <a:solidFill>
              <a:schemeClr val="bg1"/>
            </a:solidFill>
          </a:endParaRPr>
        </a:p>
        <a:p>
          <a:pPr algn="ctr"/>
          <a:r>
            <a:rPr lang="en-US" sz="1800" b="1">
              <a:solidFill>
                <a:schemeClr val="bg1"/>
              </a:solidFill>
            </a:rPr>
            <a:t>   Avg Buyer Age: 43 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606425</xdr:colOff>
      <xdr:row>17</xdr:row>
      <xdr:rowOff>175895</xdr:rowOff>
    </xdr:from>
    <xdr:to>
      <xdr:col>8</xdr:col>
      <xdr:colOff>291465</xdr:colOff>
      <xdr:row>45</xdr:row>
      <xdr:rowOff>109855</xdr:rowOff>
    </xdr:to>
    <xdr:sp>
      <xdr:nvSpPr>
        <xdr:cNvPr id="17" name="Rounded Rectangle 16"/>
        <xdr:cNvSpPr/>
      </xdr:nvSpPr>
      <xdr:spPr>
        <a:xfrm>
          <a:off x="3654425" y="3414395"/>
          <a:ext cx="1513840" cy="5394960"/>
        </a:xfrm>
        <a:prstGeom prst="round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93980</xdr:colOff>
      <xdr:row>19</xdr:row>
      <xdr:rowOff>103505</xdr:rowOff>
    </xdr:from>
    <xdr:to>
      <xdr:col>8</xdr:col>
      <xdr:colOff>235585</xdr:colOff>
      <xdr:row>25</xdr:row>
      <xdr:rowOff>46990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1580" y="3723005"/>
              <a:ext cx="1360805" cy="1086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83820</xdr:colOff>
      <xdr:row>25</xdr:row>
      <xdr:rowOff>130810</xdr:rowOff>
    </xdr:from>
    <xdr:to>
      <xdr:col>8</xdr:col>
      <xdr:colOff>228600</xdr:colOff>
      <xdr:row>30</xdr:row>
      <xdr:rowOff>44450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Purchased Bik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d Bik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1420" y="4893310"/>
              <a:ext cx="1363980" cy="993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81915</xdr:colOff>
      <xdr:row>30</xdr:row>
      <xdr:rowOff>165735</xdr:rowOff>
    </xdr:from>
    <xdr:to>
      <xdr:col>8</xdr:col>
      <xdr:colOff>225425</xdr:colOff>
      <xdr:row>37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9515" y="6007735"/>
              <a:ext cx="1362710" cy="118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77470</xdr:colOff>
      <xdr:row>37</xdr:row>
      <xdr:rowOff>101600</xdr:rowOff>
    </xdr:from>
    <xdr:to>
      <xdr:col>8</xdr:col>
      <xdr:colOff>232410</xdr:colOff>
      <xdr:row>44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5070" y="7277100"/>
              <a:ext cx="1374140" cy="1283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387985</xdr:colOff>
      <xdr:row>1</xdr:row>
      <xdr:rowOff>62230</xdr:rowOff>
    </xdr:from>
    <xdr:to>
      <xdr:col>9</xdr:col>
      <xdr:colOff>619125</xdr:colOff>
      <xdr:row>11</xdr:row>
      <xdr:rowOff>146050</xdr:rowOff>
    </xdr:to>
    <xdr:graphicFrame>
      <xdr:nvGraphicFramePr>
        <xdr:cNvPr id="9" name="Chart 8"/>
        <xdr:cNvGraphicFramePr/>
      </xdr:nvGraphicFramePr>
      <xdr:xfrm>
        <a:off x="8312785" y="252730"/>
        <a:ext cx="3231515" cy="198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139700</xdr:colOff>
      <xdr:row>44</xdr:row>
      <xdr:rowOff>47625</xdr:rowOff>
    </xdr:from>
    <xdr:to>
      <xdr:col>12</xdr:col>
      <xdr:colOff>817245</xdr:colOff>
      <xdr:row>57</xdr:row>
      <xdr:rowOff>34925</xdr:rowOff>
    </xdr:to>
    <xdr:graphicFrame>
      <xdr:nvGraphicFramePr>
        <xdr:cNvPr id="3" name="Chart 2"/>
        <xdr:cNvGraphicFramePr/>
      </xdr:nvGraphicFramePr>
      <xdr:xfrm>
        <a:off x="11064875" y="8429625"/>
        <a:ext cx="3382645" cy="260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212090</xdr:colOff>
      <xdr:row>58</xdr:row>
      <xdr:rowOff>171450</xdr:rowOff>
    </xdr:from>
    <xdr:to>
      <xdr:col>13</xdr:col>
      <xdr:colOff>266065</xdr:colOff>
      <xdr:row>71</xdr:row>
      <xdr:rowOff>140335</xdr:rowOff>
    </xdr:to>
    <xdr:graphicFrame>
      <xdr:nvGraphicFramePr>
        <xdr:cNvPr id="4" name="Chart 3"/>
        <xdr:cNvGraphicFramePr/>
      </xdr:nvGraphicFramePr>
      <xdr:xfrm>
        <a:off x="11927840" y="11363325"/>
        <a:ext cx="3140075" cy="2445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1050290</xdr:colOff>
      <xdr:row>76</xdr:row>
      <xdr:rowOff>21590</xdr:rowOff>
    </xdr:from>
    <xdr:to>
      <xdr:col>10</xdr:col>
      <xdr:colOff>851535</xdr:colOff>
      <xdr:row>89</xdr:row>
      <xdr:rowOff>11430</xdr:rowOff>
    </xdr:to>
    <xdr:graphicFrame>
      <xdr:nvGraphicFramePr>
        <xdr:cNvPr id="7" name="Chart 6"/>
        <xdr:cNvGraphicFramePr/>
      </xdr:nvGraphicFramePr>
      <xdr:xfrm>
        <a:off x="8975090" y="14642465"/>
        <a:ext cx="3592195" cy="2466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575945</xdr:colOff>
      <xdr:row>92</xdr:row>
      <xdr:rowOff>47625</xdr:rowOff>
    </xdr:from>
    <xdr:to>
      <xdr:col>9</xdr:col>
      <xdr:colOff>588010</xdr:colOff>
      <xdr:row>105</xdr:row>
      <xdr:rowOff>34925</xdr:rowOff>
    </xdr:to>
    <xdr:graphicFrame>
      <xdr:nvGraphicFramePr>
        <xdr:cNvPr id="8" name="Chart 7"/>
        <xdr:cNvGraphicFramePr/>
      </xdr:nvGraphicFramePr>
      <xdr:xfrm>
        <a:off x="8500745" y="17716500"/>
        <a:ext cx="3012440" cy="246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266700</xdr:colOff>
      <xdr:row>976</xdr:row>
      <xdr:rowOff>34925</xdr:rowOff>
    </xdr:from>
    <xdr:to>
      <xdr:col>8</xdr:col>
      <xdr:colOff>120650</xdr:colOff>
      <xdr:row>990</xdr:row>
      <xdr:rowOff>111125</xdr:rowOff>
    </xdr:to>
    <xdr:graphicFrame>
      <xdr:nvGraphicFramePr>
        <xdr:cNvPr id="10" name="Chart 9"/>
        <xdr:cNvGraphicFramePr/>
      </xdr:nvGraphicFramePr>
      <xdr:xfrm>
        <a:off x="3933825" y="186105800"/>
        <a:ext cx="63214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6311.3254861111" refreshedBy="serik" recordCount="1000">
  <cacheSource type="worksheet">
    <worksheetSource ref="A1:O1001" sheet="Working Sheet"/>
  </cacheSource>
  <cacheFields count="15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Income Bracket" numFmtId="0">
      <sharedItems count="3">
        <s v="Moderate Income"/>
        <s v="Low Income"/>
        <s v="High Income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-Aged"/>
        <s v="Seniors"/>
        <s v="Young Adults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0"/>
    <x v="0"/>
    <x v="1"/>
    <x v="0"/>
    <x v="0"/>
  </r>
  <r>
    <x v="2"/>
    <x v="0"/>
    <x v="1"/>
    <x v="2"/>
    <x v="0"/>
    <x v="2"/>
    <x v="1"/>
    <x v="2"/>
    <x v="1"/>
    <x v="2"/>
    <x v="1"/>
    <x v="0"/>
    <x v="2"/>
    <x v="1"/>
    <x v="0"/>
  </r>
  <r>
    <x v="3"/>
    <x v="1"/>
    <x v="1"/>
    <x v="3"/>
    <x v="0"/>
    <x v="3"/>
    <x v="0"/>
    <x v="2"/>
    <x v="0"/>
    <x v="1"/>
    <x v="2"/>
    <x v="1"/>
    <x v="3"/>
    <x v="0"/>
    <x v="1"/>
  </r>
  <r>
    <x v="4"/>
    <x v="1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1"/>
    <x v="4"/>
    <x v="1"/>
    <x v="3"/>
    <x v="0"/>
    <x v="0"/>
    <x v="3"/>
    <x v="0"/>
    <x v="5"/>
    <x v="0"/>
    <x v="0"/>
  </r>
  <r>
    <x v="6"/>
    <x v="1"/>
    <x v="1"/>
    <x v="5"/>
    <x v="2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0"/>
    <x v="1"/>
    <x v="0"/>
    <x v="1"/>
  </r>
  <r>
    <x v="8"/>
    <x v="0"/>
    <x v="1"/>
    <x v="6"/>
    <x v="1"/>
    <x v="4"/>
    <x v="3"/>
    <x v="1"/>
    <x v="0"/>
    <x v="2"/>
    <x v="2"/>
    <x v="1"/>
    <x v="7"/>
    <x v="0"/>
    <x v="0"/>
  </r>
  <r>
    <x v="9"/>
    <x v="0"/>
    <x v="1"/>
    <x v="7"/>
    <x v="2"/>
    <x v="4"/>
    <x v="1"/>
    <x v="3"/>
    <x v="0"/>
    <x v="1"/>
    <x v="0"/>
    <x v="0"/>
    <x v="8"/>
    <x v="0"/>
    <x v="1"/>
  </r>
  <r>
    <x v="10"/>
    <x v="0"/>
    <x v="0"/>
    <x v="1"/>
    <x v="1"/>
    <x v="1"/>
    <x v="2"/>
    <x v="0"/>
    <x v="1"/>
    <x v="2"/>
    <x v="3"/>
    <x v="1"/>
    <x v="9"/>
    <x v="0"/>
    <x v="1"/>
  </r>
  <r>
    <x v="11"/>
    <x v="1"/>
    <x v="0"/>
    <x v="8"/>
    <x v="2"/>
    <x v="3"/>
    <x v="0"/>
    <x v="2"/>
    <x v="1"/>
    <x v="3"/>
    <x v="4"/>
    <x v="1"/>
    <x v="4"/>
    <x v="0"/>
    <x v="0"/>
  </r>
  <r>
    <x v="12"/>
    <x v="0"/>
    <x v="1"/>
    <x v="9"/>
    <x v="2"/>
    <x v="2"/>
    <x v="1"/>
    <x v="2"/>
    <x v="0"/>
    <x v="0"/>
    <x v="0"/>
    <x v="0"/>
    <x v="10"/>
    <x v="0"/>
    <x v="0"/>
  </r>
  <r>
    <x v="13"/>
    <x v="0"/>
    <x v="1"/>
    <x v="0"/>
    <x v="0"/>
    <x v="4"/>
    <x v="1"/>
    <x v="1"/>
    <x v="0"/>
    <x v="1"/>
    <x v="3"/>
    <x v="0"/>
    <x v="11"/>
    <x v="0"/>
    <x v="1"/>
  </r>
  <r>
    <x v="14"/>
    <x v="1"/>
    <x v="1"/>
    <x v="10"/>
    <x v="0"/>
    <x v="0"/>
    <x v="1"/>
    <x v="0"/>
    <x v="1"/>
    <x v="1"/>
    <x v="0"/>
    <x v="1"/>
    <x v="12"/>
    <x v="0"/>
    <x v="1"/>
  </r>
  <r>
    <x v="15"/>
    <x v="1"/>
    <x v="0"/>
    <x v="4"/>
    <x v="1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1"/>
    <x v="2"/>
    <x v="3"/>
    <x v="1"/>
    <x v="14"/>
    <x v="0"/>
    <x v="1"/>
  </r>
  <r>
    <x v="17"/>
    <x v="0"/>
    <x v="0"/>
    <x v="1"/>
    <x v="1"/>
    <x v="0"/>
    <x v="0"/>
    <x v="1"/>
    <x v="0"/>
    <x v="0"/>
    <x v="0"/>
    <x v="0"/>
    <x v="15"/>
    <x v="0"/>
    <x v="0"/>
  </r>
  <r>
    <x v="18"/>
    <x v="1"/>
    <x v="1"/>
    <x v="0"/>
    <x v="0"/>
    <x v="4"/>
    <x v="1"/>
    <x v="1"/>
    <x v="0"/>
    <x v="1"/>
    <x v="3"/>
    <x v="0"/>
    <x v="11"/>
    <x v="0"/>
    <x v="1"/>
  </r>
  <r>
    <x v="19"/>
    <x v="1"/>
    <x v="1"/>
    <x v="6"/>
    <x v="1"/>
    <x v="4"/>
    <x v="3"/>
    <x v="1"/>
    <x v="0"/>
    <x v="2"/>
    <x v="2"/>
    <x v="1"/>
    <x v="10"/>
    <x v="0"/>
    <x v="1"/>
  </r>
  <r>
    <x v="20"/>
    <x v="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0"/>
    <x v="3"/>
    <x v="0"/>
    <x v="2"/>
    <x v="0"/>
    <x v="3"/>
    <x v="4"/>
    <x v="1"/>
    <x v="11"/>
    <x v="0"/>
    <x v="0"/>
  </r>
  <r>
    <x v="22"/>
    <x v="1"/>
    <x v="1"/>
    <x v="0"/>
    <x v="0"/>
    <x v="4"/>
    <x v="1"/>
    <x v="1"/>
    <x v="0"/>
    <x v="0"/>
    <x v="3"/>
    <x v="0"/>
    <x v="11"/>
    <x v="0"/>
    <x v="1"/>
  </r>
  <r>
    <x v="23"/>
    <x v="0"/>
    <x v="0"/>
    <x v="2"/>
    <x v="0"/>
    <x v="2"/>
    <x v="2"/>
    <x v="4"/>
    <x v="1"/>
    <x v="4"/>
    <x v="2"/>
    <x v="0"/>
    <x v="16"/>
    <x v="0"/>
    <x v="0"/>
  </r>
  <r>
    <x v="24"/>
    <x v="1"/>
    <x v="1"/>
    <x v="0"/>
    <x v="0"/>
    <x v="4"/>
    <x v="1"/>
    <x v="1"/>
    <x v="1"/>
    <x v="1"/>
    <x v="0"/>
    <x v="0"/>
    <x v="17"/>
    <x v="0"/>
    <x v="0"/>
  </r>
  <r>
    <x v="25"/>
    <x v="1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2"/>
    <x v="3"/>
    <x v="0"/>
    <x v="2"/>
    <x v="1"/>
    <x v="1"/>
    <x v="2"/>
    <x v="1"/>
    <x v="8"/>
    <x v="0"/>
    <x v="0"/>
  </r>
  <r>
    <x v="28"/>
    <x v="0"/>
    <x v="1"/>
    <x v="3"/>
    <x v="0"/>
    <x v="2"/>
    <x v="1"/>
    <x v="0"/>
    <x v="0"/>
    <x v="2"/>
    <x v="2"/>
    <x v="1"/>
    <x v="20"/>
    <x v="0"/>
    <x v="0"/>
  </r>
  <r>
    <x v="29"/>
    <x v="1"/>
    <x v="0"/>
    <x v="6"/>
    <x v="1"/>
    <x v="3"/>
    <x v="3"/>
    <x v="3"/>
    <x v="1"/>
    <x v="2"/>
    <x v="0"/>
    <x v="0"/>
    <x v="21"/>
    <x v="0"/>
    <x v="1"/>
  </r>
  <r>
    <x v="30"/>
    <x v="0"/>
    <x v="0"/>
    <x v="6"/>
    <x v="1"/>
    <x v="4"/>
    <x v="1"/>
    <x v="3"/>
    <x v="0"/>
    <x v="0"/>
    <x v="0"/>
    <x v="0"/>
    <x v="18"/>
    <x v="1"/>
    <x v="0"/>
  </r>
  <r>
    <x v="31"/>
    <x v="0"/>
    <x v="1"/>
    <x v="4"/>
    <x v="1"/>
    <x v="3"/>
    <x v="1"/>
    <x v="3"/>
    <x v="1"/>
    <x v="1"/>
    <x v="0"/>
    <x v="1"/>
    <x v="22"/>
    <x v="2"/>
    <x v="1"/>
  </r>
  <r>
    <x v="32"/>
    <x v="1"/>
    <x v="0"/>
    <x v="6"/>
    <x v="1"/>
    <x v="3"/>
    <x v="2"/>
    <x v="3"/>
    <x v="1"/>
    <x v="1"/>
    <x v="2"/>
    <x v="0"/>
    <x v="23"/>
    <x v="0"/>
    <x v="0"/>
  </r>
  <r>
    <x v="33"/>
    <x v="1"/>
    <x v="1"/>
    <x v="2"/>
    <x v="0"/>
    <x v="4"/>
    <x v="2"/>
    <x v="0"/>
    <x v="1"/>
    <x v="2"/>
    <x v="3"/>
    <x v="1"/>
    <x v="5"/>
    <x v="0"/>
    <x v="1"/>
  </r>
  <r>
    <x v="34"/>
    <x v="1"/>
    <x v="1"/>
    <x v="8"/>
    <x v="2"/>
    <x v="2"/>
    <x v="1"/>
    <x v="2"/>
    <x v="1"/>
    <x v="2"/>
    <x v="1"/>
    <x v="0"/>
    <x v="24"/>
    <x v="1"/>
    <x v="1"/>
  </r>
  <r>
    <x v="35"/>
    <x v="1"/>
    <x v="0"/>
    <x v="4"/>
    <x v="1"/>
    <x v="2"/>
    <x v="3"/>
    <x v="3"/>
    <x v="1"/>
    <x v="2"/>
    <x v="0"/>
    <x v="0"/>
    <x v="3"/>
    <x v="0"/>
    <x v="0"/>
  </r>
  <r>
    <x v="36"/>
    <x v="0"/>
    <x v="0"/>
    <x v="4"/>
    <x v="1"/>
    <x v="4"/>
    <x v="1"/>
    <x v="3"/>
    <x v="0"/>
    <x v="1"/>
    <x v="0"/>
    <x v="0"/>
    <x v="5"/>
    <x v="0"/>
    <x v="1"/>
  </r>
  <r>
    <x v="37"/>
    <x v="1"/>
    <x v="0"/>
    <x v="1"/>
    <x v="1"/>
    <x v="3"/>
    <x v="1"/>
    <x v="1"/>
    <x v="1"/>
    <x v="1"/>
    <x v="1"/>
    <x v="0"/>
    <x v="25"/>
    <x v="2"/>
    <x v="0"/>
  </r>
  <r>
    <x v="38"/>
    <x v="1"/>
    <x v="1"/>
    <x v="6"/>
    <x v="1"/>
    <x v="3"/>
    <x v="2"/>
    <x v="3"/>
    <x v="1"/>
    <x v="1"/>
    <x v="1"/>
    <x v="0"/>
    <x v="26"/>
    <x v="2"/>
    <x v="0"/>
  </r>
  <r>
    <x v="39"/>
    <x v="1"/>
    <x v="0"/>
    <x v="4"/>
    <x v="1"/>
    <x v="5"/>
    <x v="3"/>
    <x v="3"/>
    <x v="0"/>
    <x v="2"/>
    <x v="0"/>
    <x v="0"/>
    <x v="8"/>
    <x v="0"/>
    <x v="1"/>
  </r>
  <r>
    <x v="40"/>
    <x v="1"/>
    <x v="0"/>
    <x v="1"/>
    <x v="1"/>
    <x v="4"/>
    <x v="1"/>
    <x v="1"/>
    <x v="1"/>
    <x v="0"/>
    <x v="0"/>
    <x v="0"/>
    <x v="1"/>
    <x v="0"/>
    <x v="0"/>
  </r>
  <r>
    <x v="41"/>
    <x v="1"/>
    <x v="0"/>
    <x v="0"/>
    <x v="0"/>
    <x v="4"/>
    <x v="0"/>
    <x v="4"/>
    <x v="0"/>
    <x v="2"/>
    <x v="2"/>
    <x v="1"/>
    <x v="27"/>
    <x v="1"/>
    <x v="1"/>
  </r>
  <r>
    <x v="42"/>
    <x v="0"/>
    <x v="0"/>
    <x v="4"/>
    <x v="1"/>
    <x v="0"/>
    <x v="4"/>
    <x v="3"/>
    <x v="0"/>
    <x v="0"/>
    <x v="0"/>
    <x v="0"/>
    <x v="8"/>
    <x v="0"/>
    <x v="0"/>
  </r>
  <r>
    <x v="43"/>
    <x v="0"/>
    <x v="0"/>
    <x v="9"/>
    <x v="2"/>
    <x v="5"/>
    <x v="1"/>
    <x v="2"/>
    <x v="1"/>
    <x v="4"/>
    <x v="2"/>
    <x v="0"/>
    <x v="28"/>
    <x v="0"/>
    <x v="1"/>
  </r>
  <r>
    <x v="44"/>
    <x v="0"/>
    <x v="0"/>
    <x v="6"/>
    <x v="1"/>
    <x v="1"/>
    <x v="2"/>
    <x v="3"/>
    <x v="0"/>
    <x v="0"/>
    <x v="0"/>
    <x v="0"/>
    <x v="3"/>
    <x v="0"/>
    <x v="1"/>
  </r>
  <r>
    <x v="45"/>
    <x v="0"/>
    <x v="0"/>
    <x v="6"/>
    <x v="1"/>
    <x v="0"/>
    <x v="0"/>
    <x v="1"/>
    <x v="0"/>
    <x v="0"/>
    <x v="0"/>
    <x v="0"/>
    <x v="29"/>
    <x v="1"/>
    <x v="1"/>
  </r>
  <r>
    <x v="46"/>
    <x v="0"/>
    <x v="0"/>
    <x v="10"/>
    <x v="0"/>
    <x v="0"/>
    <x v="1"/>
    <x v="0"/>
    <x v="0"/>
    <x v="1"/>
    <x v="2"/>
    <x v="1"/>
    <x v="30"/>
    <x v="0"/>
    <x v="1"/>
  </r>
  <r>
    <x v="47"/>
    <x v="1"/>
    <x v="0"/>
    <x v="0"/>
    <x v="0"/>
    <x v="4"/>
    <x v="1"/>
    <x v="0"/>
    <x v="0"/>
    <x v="2"/>
    <x v="2"/>
    <x v="1"/>
    <x v="31"/>
    <x v="0"/>
    <x v="1"/>
  </r>
  <r>
    <x v="48"/>
    <x v="0"/>
    <x v="1"/>
    <x v="1"/>
    <x v="1"/>
    <x v="4"/>
    <x v="1"/>
    <x v="1"/>
    <x v="1"/>
    <x v="2"/>
    <x v="0"/>
    <x v="0"/>
    <x v="0"/>
    <x v="0"/>
    <x v="0"/>
  </r>
  <r>
    <x v="49"/>
    <x v="1"/>
    <x v="1"/>
    <x v="0"/>
    <x v="0"/>
    <x v="3"/>
    <x v="0"/>
    <x v="1"/>
    <x v="0"/>
    <x v="0"/>
    <x v="0"/>
    <x v="0"/>
    <x v="32"/>
    <x v="0"/>
    <x v="1"/>
  </r>
  <r>
    <x v="50"/>
    <x v="1"/>
    <x v="0"/>
    <x v="1"/>
    <x v="1"/>
    <x v="3"/>
    <x v="1"/>
    <x v="1"/>
    <x v="1"/>
    <x v="1"/>
    <x v="0"/>
    <x v="0"/>
    <x v="26"/>
    <x v="2"/>
    <x v="0"/>
  </r>
  <r>
    <x v="51"/>
    <x v="1"/>
    <x v="1"/>
    <x v="2"/>
    <x v="0"/>
    <x v="3"/>
    <x v="0"/>
    <x v="2"/>
    <x v="1"/>
    <x v="3"/>
    <x v="4"/>
    <x v="1"/>
    <x v="11"/>
    <x v="0"/>
    <x v="0"/>
  </r>
  <r>
    <x v="52"/>
    <x v="0"/>
    <x v="0"/>
    <x v="6"/>
    <x v="1"/>
    <x v="0"/>
    <x v="0"/>
    <x v="1"/>
    <x v="0"/>
    <x v="0"/>
    <x v="0"/>
    <x v="0"/>
    <x v="27"/>
    <x v="1"/>
    <x v="0"/>
  </r>
  <r>
    <x v="53"/>
    <x v="1"/>
    <x v="0"/>
    <x v="8"/>
    <x v="2"/>
    <x v="5"/>
    <x v="2"/>
    <x v="4"/>
    <x v="1"/>
    <x v="4"/>
    <x v="2"/>
    <x v="0"/>
    <x v="16"/>
    <x v="0"/>
    <x v="0"/>
  </r>
  <r>
    <x v="54"/>
    <x v="1"/>
    <x v="0"/>
    <x v="3"/>
    <x v="0"/>
    <x v="3"/>
    <x v="0"/>
    <x v="2"/>
    <x v="1"/>
    <x v="1"/>
    <x v="2"/>
    <x v="1"/>
    <x v="0"/>
    <x v="0"/>
    <x v="0"/>
  </r>
  <r>
    <x v="55"/>
    <x v="0"/>
    <x v="1"/>
    <x v="2"/>
    <x v="0"/>
    <x v="5"/>
    <x v="2"/>
    <x v="2"/>
    <x v="0"/>
    <x v="2"/>
    <x v="4"/>
    <x v="0"/>
    <x v="9"/>
    <x v="0"/>
    <x v="0"/>
  </r>
  <r>
    <x v="56"/>
    <x v="0"/>
    <x v="1"/>
    <x v="0"/>
    <x v="0"/>
    <x v="3"/>
    <x v="0"/>
    <x v="1"/>
    <x v="0"/>
    <x v="0"/>
    <x v="0"/>
    <x v="0"/>
    <x v="13"/>
    <x v="0"/>
    <x v="1"/>
  </r>
  <r>
    <x v="57"/>
    <x v="0"/>
    <x v="1"/>
    <x v="12"/>
    <x v="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0"/>
    <x v="4"/>
    <x v="0"/>
    <x v="2"/>
    <x v="0"/>
    <x v="1"/>
    <x v="1"/>
    <x v="1"/>
    <x v="13"/>
    <x v="0"/>
    <x v="1"/>
  </r>
  <r>
    <x v="60"/>
    <x v="1"/>
    <x v="0"/>
    <x v="4"/>
    <x v="1"/>
    <x v="0"/>
    <x v="2"/>
    <x v="3"/>
    <x v="1"/>
    <x v="1"/>
    <x v="3"/>
    <x v="0"/>
    <x v="12"/>
    <x v="0"/>
    <x v="0"/>
  </r>
  <r>
    <x v="61"/>
    <x v="1"/>
    <x v="0"/>
    <x v="4"/>
    <x v="1"/>
    <x v="4"/>
    <x v="2"/>
    <x v="3"/>
    <x v="0"/>
    <x v="0"/>
    <x v="0"/>
    <x v="0"/>
    <x v="11"/>
    <x v="0"/>
    <x v="0"/>
  </r>
  <r>
    <x v="62"/>
    <x v="0"/>
    <x v="1"/>
    <x v="0"/>
    <x v="0"/>
    <x v="4"/>
    <x v="0"/>
    <x v="4"/>
    <x v="0"/>
    <x v="1"/>
    <x v="0"/>
    <x v="1"/>
    <x v="31"/>
    <x v="0"/>
    <x v="1"/>
  </r>
  <r>
    <x v="63"/>
    <x v="1"/>
    <x v="1"/>
    <x v="10"/>
    <x v="0"/>
    <x v="5"/>
    <x v="0"/>
    <x v="2"/>
    <x v="0"/>
    <x v="4"/>
    <x v="4"/>
    <x v="1"/>
    <x v="3"/>
    <x v="0"/>
    <x v="0"/>
  </r>
  <r>
    <x v="64"/>
    <x v="0"/>
    <x v="0"/>
    <x v="1"/>
    <x v="1"/>
    <x v="0"/>
    <x v="0"/>
    <x v="1"/>
    <x v="0"/>
    <x v="0"/>
    <x v="0"/>
    <x v="0"/>
    <x v="34"/>
    <x v="0"/>
    <x v="1"/>
  </r>
  <r>
    <x v="65"/>
    <x v="1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1"/>
    <x v="5"/>
    <x v="2"/>
    <x v="3"/>
    <x v="0"/>
    <x v="1"/>
    <x v="0"/>
    <x v="0"/>
    <x v="1"/>
    <x v="0"/>
    <x v="1"/>
  </r>
  <r>
    <x v="69"/>
    <x v="0"/>
    <x v="0"/>
    <x v="4"/>
    <x v="1"/>
    <x v="3"/>
    <x v="3"/>
    <x v="3"/>
    <x v="1"/>
    <x v="2"/>
    <x v="0"/>
    <x v="0"/>
    <x v="25"/>
    <x v="2"/>
    <x v="0"/>
  </r>
  <r>
    <x v="70"/>
    <x v="0"/>
    <x v="1"/>
    <x v="7"/>
    <x v="2"/>
    <x v="3"/>
    <x v="3"/>
    <x v="2"/>
    <x v="0"/>
    <x v="3"/>
    <x v="4"/>
    <x v="1"/>
    <x v="4"/>
    <x v="0"/>
    <x v="1"/>
  </r>
  <r>
    <x v="71"/>
    <x v="1"/>
    <x v="0"/>
    <x v="4"/>
    <x v="1"/>
    <x v="3"/>
    <x v="3"/>
    <x v="3"/>
    <x v="1"/>
    <x v="2"/>
    <x v="0"/>
    <x v="0"/>
    <x v="11"/>
    <x v="0"/>
    <x v="0"/>
  </r>
  <r>
    <x v="72"/>
    <x v="0"/>
    <x v="0"/>
    <x v="12"/>
    <x v="2"/>
    <x v="1"/>
    <x v="2"/>
    <x v="2"/>
    <x v="0"/>
    <x v="3"/>
    <x v="0"/>
    <x v="0"/>
    <x v="31"/>
    <x v="0"/>
    <x v="0"/>
  </r>
  <r>
    <x v="73"/>
    <x v="1"/>
    <x v="0"/>
    <x v="6"/>
    <x v="1"/>
    <x v="3"/>
    <x v="1"/>
    <x v="3"/>
    <x v="1"/>
    <x v="1"/>
    <x v="1"/>
    <x v="0"/>
    <x v="4"/>
    <x v="0"/>
    <x v="1"/>
  </r>
  <r>
    <x v="74"/>
    <x v="0"/>
    <x v="0"/>
    <x v="6"/>
    <x v="1"/>
    <x v="1"/>
    <x v="2"/>
    <x v="0"/>
    <x v="1"/>
    <x v="2"/>
    <x v="3"/>
    <x v="1"/>
    <x v="24"/>
    <x v="1"/>
    <x v="0"/>
  </r>
  <r>
    <x v="75"/>
    <x v="1"/>
    <x v="0"/>
    <x v="12"/>
    <x v="2"/>
    <x v="5"/>
    <x v="2"/>
    <x v="4"/>
    <x v="0"/>
    <x v="3"/>
    <x v="0"/>
    <x v="1"/>
    <x v="23"/>
    <x v="0"/>
    <x v="0"/>
  </r>
  <r>
    <x v="76"/>
    <x v="1"/>
    <x v="0"/>
    <x v="6"/>
    <x v="1"/>
    <x v="3"/>
    <x v="3"/>
    <x v="3"/>
    <x v="1"/>
    <x v="2"/>
    <x v="3"/>
    <x v="0"/>
    <x v="22"/>
    <x v="2"/>
    <x v="0"/>
  </r>
  <r>
    <x v="77"/>
    <x v="0"/>
    <x v="1"/>
    <x v="2"/>
    <x v="0"/>
    <x v="3"/>
    <x v="0"/>
    <x v="2"/>
    <x v="0"/>
    <x v="2"/>
    <x v="4"/>
    <x v="1"/>
    <x v="19"/>
    <x v="2"/>
    <x v="1"/>
  </r>
  <r>
    <x v="78"/>
    <x v="0"/>
    <x v="1"/>
    <x v="2"/>
    <x v="0"/>
    <x v="4"/>
    <x v="2"/>
    <x v="0"/>
    <x v="1"/>
    <x v="2"/>
    <x v="3"/>
    <x v="1"/>
    <x v="5"/>
    <x v="0"/>
    <x v="1"/>
  </r>
  <r>
    <x v="79"/>
    <x v="1"/>
    <x v="1"/>
    <x v="0"/>
    <x v="0"/>
    <x v="4"/>
    <x v="0"/>
    <x v="4"/>
    <x v="0"/>
    <x v="2"/>
    <x v="2"/>
    <x v="1"/>
    <x v="18"/>
    <x v="1"/>
    <x v="1"/>
  </r>
  <r>
    <x v="80"/>
    <x v="0"/>
    <x v="0"/>
    <x v="1"/>
    <x v="1"/>
    <x v="5"/>
    <x v="4"/>
    <x v="1"/>
    <x v="0"/>
    <x v="0"/>
    <x v="0"/>
    <x v="0"/>
    <x v="12"/>
    <x v="0"/>
    <x v="1"/>
  </r>
  <r>
    <x v="81"/>
    <x v="1"/>
    <x v="0"/>
    <x v="4"/>
    <x v="1"/>
    <x v="5"/>
    <x v="3"/>
    <x v="3"/>
    <x v="0"/>
    <x v="2"/>
    <x v="0"/>
    <x v="0"/>
    <x v="8"/>
    <x v="0"/>
    <x v="0"/>
  </r>
  <r>
    <x v="82"/>
    <x v="0"/>
    <x v="1"/>
    <x v="1"/>
    <x v="1"/>
    <x v="3"/>
    <x v="0"/>
    <x v="1"/>
    <x v="0"/>
    <x v="0"/>
    <x v="0"/>
    <x v="0"/>
    <x v="15"/>
    <x v="0"/>
    <x v="1"/>
  </r>
  <r>
    <x v="83"/>
    <x v="1"/>
    <x v="1"/>
    <x v="6"/>
    <x v="1"/>
    <x v="3"/>
    <x v="2"/>
    <x v="3"/>
    <x v="1"/>
    <x v="1"/>
    <x v="1"/>
    <x v="0"/>
    <x v="19"/>
    <x v="2"/>
    <x v="0"/>
  </r>
  <r>
    <x v="84"/>
    <x v="1"/>
    <x v="1"/>
    <x v="0"/>
    <x v="0"/>
    <x v="4"/>
    <x v="0"/>
    <x v="4"/>
    <x v="1"/>
    <x v="1"/>
    <x v="2"/>
    <x v="1"/>
    <x v="31"/>
    <x v="0"/>
    <x v="1"/>
  </r>
  <r>
    <x v="85"/>
    <x v="1"/>
    <x v="1"/>
    <x v="4"/>
    <x v="1"/>
    <x v="3"/>
    <x v="1"/>
    <x v="3"/>
    <x v="0"/>
    <x v="1"/>
    <x v="3"/>
    <x v="1"/>
    <x v="22"/>
    <x v="2"/>
    <x v="1"/>
  </r>
  <r>
    <x v="86"/>
    <x v="1"/>
    <x v="1"/>
    <x v="12"/>
    <x v="2"/>
    <x v="1"/>
    <x v="1"/>
    <x v="2"/>
    <x v="1"/>
    <x v="4"/>
    <x v="0"/>
    <x v="0"/>
    <x v="36"/>
    <x v="0"/>
    <x v="1"/>
  </r>
  <r>
    <x v="87"/>
    <x v="0"/>
    <x v="1"/>
    <x v="2"/>
    <x v="0"/>
    <x v="2"/>
    <x v="0"/>
    <x v="2"/>
    <x v="0"/>
    <x v="3"/>
    <x v="3"/>
    <x v="1"/>
    <x v="8"/>
    <x v="0"/>
    <x v="0"/>
  </r>
  <r>
    <x v="88"/>
    <x v="1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1"/>
    <x v="0"/>
    <x v="2"/>
    <x v="3"/>
    <x v="1"/>
    <x v="1"/>
    <x v="3"/>
    <x v="0"/>
    <x v="8"/>
    <x v="0"/>
    <x v="1"/>
  </r>
  <r>
    <x v="90"/>
    <x v="1"/>
    <x v="0"/>
    <x v="1"/>
    <x v="1"/>
    <x v="3"/>
    <x v="1"/>
    <x v="1"/>
    <x v="1"/>
    <x v="1"/>
    <x v="0"/>
    <x v="0"/>
    <x v="19"/>
    <x v="2"/>
    <x v="1"/>
  </r>
  <r>
    <x v="91"/>
    <x v="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0"/>
    <x v="4"/>
    <x v="0"/>
    <x v="2"/>
    <x v="0"/>
    <x v="1"/>
    <x v="1"/>
    <x v="1"/>
    <x v="34"/>
    <x v="0"/>
    <x v="1"/>
  </r>
  <r>
    <x v="93"/>
    <x v="1"/>
    <x v="0"/>
    <x v="1"/>
    <x v="1"/>
    <x v="3"/>
    <x v="1"/>
    <x v="1"/>
    <x v="1"/>
    <x v="1"/>
    <x v="1"/>
    <x v="0"/>
    <x v="6"/>
    <x v="0"/>
    <x v="0"/>
  </r>
  <r>
    <x v="94"/>
    <x v="1"/>
    <x v="0"/>
    <x v="1"/>
    <x v="1"/>
    <x v="1"/>
    <x v="2"/>
    <x v="0"/>
    <x v="0"/>
    <x v="2"/>
    <x v="2"/>
    <x v="1"/>
    <x v="10"/>
    <x v="0"/>
    <x v="0"/>
  </r>
  <r>
    <x v="95"/>
    <x v="1"/>
    <x v="0"/>
    <x v="8"/>
    <x v="2"/>
    <x v="2"/>
    <x v="1"/>
    <x v="2"/>
    <x v="0"/>
    <x v="2"/>
    <x v="4"/>
    <x v="0"/>
    <x v="24"/>
    <x v="1"/>
    <x v="0"/>
  </r>
  <r>
    <x v="96"/>
    <x v="0"/>
    <x v="1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0"/>
    <x v="1"/>
    <x v="0"/>
    <x v="0"/>
    <x v="20"/>
    <x v="0"/>
    <x v="1"/>
  </r>
  <r>
    <x v="98"/>
    <x v="0"/>
    <x v="1"/>
    <x v="0"/>
    <x v="0"/>
    <x v="3"/>
    <x v="4"/>
    <x v="1"/>
    <x v="0"/>
    <x v="0"/>
    <x v="0"/>
    <x v="0"/>
    <x v="37"/>
    <x v="2"/>
    <x v="1"/>
  </r>
  <r>
    <x v="99"/>
    <x v="0"/>
    <x v="0"/>
    <x v="6"/>
    <x v="1"/>
    <x v="1"/>
    <x v="2"/>
    <x v="3"/>
    <x v="0"/>
    <x v="2"/>
    <x v="0"/>
    <x v="0"/>
    <x v="1"/>
    <x v="0"/>
    <x v="0"/>
  </r>
  <r>
    <x v="100"/>
    <x v="1"/>
    <x v="1"/>
    <x v="4"/>
    <x v="1"/>
    <x v="4"/>
    <x v="2"/>
    <x v="3"/>
    <x v="0"/>
    <x v="0"/>
    <x v="0"/>
    <x v="0"/>
    <x v="11"/>
    <x v="0"/>
    <x v="0"/>
  </r>
  <r>
    <x v="101"/>
    <x v="1"/>
    <x v="1"/>
    <x v="10"/>
    <x v="0"/>
    <x v="1"/>
    <x v="0"/>
    <x v="2"/>
    <x v="1"/>
    <x v="2"/>
    <x v="0"/>
    <x v="1"/>
    <x v="1"/>
    <x v="0"/>
    <x v="1"/>
  </r>
  <r>
    <x v="102"/>
    <x v="0"/>
    <x v="1"/>
    <x v="4"/>
    <x v="1"/>
    <x v="4"/>
    <x v="1"/>
    <x v="3"/>
    <x v="0"/>
    <x v="0"/>
    <x v="3"/>
    <x v="0"/>
    <x v="38"/>
    <x v="0"/>
    <x v="0"/>
  </r>
  <r>
    <x v="103"/>
    <x v="1"/>
    <x v="1"/>
    <x v="10"/>
    <x v="0"/>
    <x v="0"/>
    <x v="1"/>
    <x v="0"/>
    <x v="0"/>
    <x v="1"/>
    <x v="2"/>
    <x v="1"/>
    <x v="12"/>
    <x v="0"/>
    <x v="0"/>
  </r>
  <r>
    <x v="104"/>
    <x v="1"/>
    <x v="0"/>
    <x v="3"/>
    <x v="0"/>
    <x v="4"/>
    <x v="2"/>
    <x v="2"/>
    <x v="0"/>
    <x v="2"/>
    <x v="2"/>
    <x v="1"/>
    <x v="38"/>
    <x v="0"/>
    <x v="1"/>
  </r>
  <r>
    <x v="105"/>
    <x v="1"/>
    <x v="0"/>
    <x v="1"/>
    <x v="1"/>
    <x v="3"/>
    <x v="1"/>
    <x v="1"/>
    <x v="1"/>
    <x v="1"/>
    <x v="1"/>
    <x v="0"/>
    <x v="25"/>
    <x v="2"/>
    <x v="0"/>
  </r>
  <r>
    <x v="106"/>
    <x v="0"/>
    <x v="1"/>
    <x v="3"/>
    <x v="0"/>
    <x v="4"/>
    <x v="1"/>
    <x v="0"/>
    <x v="0"/>
    <x v="2"/>
    <x v="2"/>
    <x v="1"/>
    <x v="31"/>
    <x v="0"/>
    <x v="1"/>
  </r>
  <r>
    <x v="107"/>
    <x v="1"/>
    <x v="0"/>
    <x v="0"/>
    <x v="0"/>
    <x v="4"/>
    <x v="1"/>
    <x v="0"/>
    <x v="1"/>
    <x v="2"/>
    <x v="3"/>
    <x v="1"/>
    <x v="39"/>
    <x v="0"/>
    <x v="1"/>
  </r>
  <r>
    <x v="108"/>
    <x v="0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0"/>
    <x v="3"/>
    <x v="0"/>
    <x v="2"/>
    <x v="1"/>
    <x v="0"/>
    <x v="0"/>
    <x v="0"/>
    <x v="32"/>
    <x v="0"/>
    <x v="1"/>
  </r>
  <r>
    <x v="110"/>
    <x v="1"/>
    <x v="0"/>
    <x v="1"/>
    <x v="1"/>
    <x v="0"/>
    <x v="1"/>
    <x v="3"/>
    <x v="1"/>
    <x v="0"/>
    <x v="0"/>
    <x v="0"/>
    <x v="30"/>
    <x v="0"/>
    <x v="1"/>
  </r>
  <r>
    <x v="111"/>
    <x v="1"/>
    <x v="0"/>
    <x v="3"/>
    <x v="0"/>
    <x v="3"/>
    <x v="0"/>
    <x v="2"/>
    <x v="1"/>
    <x v="1"/>
    <x v="2"/>
    <x v="1"/>
    <x v="13"/>
    <x v="0"/>
    <x v="0"/>
  </r>
  <r>
    <x v="112"/>
    <x v="1"/>
    <x v="0"/>
    <x v="0"/>
    <x v="0"/>
    <x v="4"/>
    <x v="1"/>
    <x v="1"/>
    <x v="0"/>
    <x v="2"/>
    <x v="3"/>
    <x v="0"/>
    <x v="11"/>
    <x v="0"/>
    <x v="0"/>
  </r>
  <r>
    <x v="113"/>
    <x v="1"/>
    <x v="0"/>
    <x v="12"/>
    <x v="2"/>
    <x v="0"/>
    <x v="4"/>
    <x v="4"/>
    <x v="1"/>
    <x v="1"/>
    <x v="0"/>
    <x v="1"/>
    <x v="4"/>
    <x v="0"/>
    <x v="1"/>
  </r>
  <r>
    <x v="114"/>
    <x v="0"/>
    <x v="1"/>
    <x v="6"/>
    <x v="1"/>
    <x v="3"/>
    <x v="0"/>
    <x v="1"/>
    <x v="0"/>
    <x v="0"/>
    <x v="0"/>
    <x v="1"/>
    <x v="22"/>
    <x v="2"/>
    <x v="1"/>
  </r>
  <r>
    <x v="115"/>
    <x v="1"/>
    <x v="1"/>
    <x v="4"/>
    <x v="1"/>
    <x v="3"/>
    <x v="4"/>
    <x v="3"/>
    <x v="1"/>
    <x v="0"/>
    <x v="0"/>
    <x v="0"/>
    <x v="25"/>
    <x v="2"/>
    <x v="1"/>
  </r>
  <r>
    <x v="116"/>
    <x v="0"/>
    <x v="0"/>
    <x v="1"/>
    <x v="1"/>
    <x v="0"/>
    <x v="0"/>
    <x v="0"/>
    <x v="0"/>
    <x v="2"/>
    <x v="0"/>
    <x v="0"/>
    <x v="0"/>
    <x v="0"/>
    <x v="0"/>
  </r>
  <r>
    <x v="117"/>
    <x v="1"/>
    <x v="0"/>
    <x v="6"/>
    <x v="1"/>
    <x v="3"/>
    <x v="2"/>
    <x v="3"/>
    <x v="0"/>
    <x v="0"/>
    <x v="0"/>
    <x v="0"/>
    <x v="8"/>
    <x v="0"/>
    <x v="1"/>
  </r>
  <r>
    <x v="118"/>
    <x v="0"/>
    <x v="1"/>
    <x v="2"/>
    <x v="0"/>
    <x v="2"/>
    <x v="0"/>
    <x v="4"/>
    <x v="0"/>
    <x v="2"/>
    <x v="1"/>
    <x v="0"/>
    <x v="24"/>
    <x v="1"/>
    <x v="0"/>
  </r>
  <r>
    <x v="119"/>
    <x v="1"/>
    <x v="0"/>
    <x v="1"/>
    <x v="1"/>
    <x v="3"/>
    <x v="1"/>
    <x v="1"/>
    <x v="1"/>
    <x v="1"/>
    <x v="1"/>
    <x v="0"/>
    <x v="19"/>
    <x v="2"/>
    <x v="0"/>
  </r>
  <r>
    <x v="120"/>
    <x v="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2"/>
    <x v="4"/>
    <x v="2"/>
    <x v="2"/>
    <x v="0"/>
    <x v="3"/>
    <x v="0"/>
    <x v="0"/>
    <x v="28"/>
    <x v="0"/>
    <x v="0"/>
  </r>
  <r>
    <x v="122"/>
    <x v="1"/>
    <x v="0"/>
    <x v="2"/>
    <x v="0"/>
    <x v="3"/>
    <x v="0"/>
    <x v="2"/>
    <x v="1"/>
    <x v="4"/>
    <x v="4"/>
    <x v="1"/>
    <x v="23"/>
    <x v="0"/>
    <x v="0"/>
  </r>
  <r>
    <x v="123"/>
    <x v="1"/>
    <x v="0"/>
    <x v="11"/>
    <x v="2"/>
    <x v="1"/>
    <x v="1"/>
    <x v="4"/>
    <x v="1"/>
    <x v="3"/>
    <x v="2"/>
    <x v="0"/>
    <x v="16"/>
    <x v="0"/>
    <x v="0"/>
  </r>
  <r>
    <x v="124"/>
    <x v="1"/>
    <x v="0"/>
    <x v="0"/>
    <x v="0"/>
    <x v="3"/>
    <x v="0"/>
    <x v="1"/>
    <x v="1"/>
    <x v="0"/>
    <x v="0"/>
    <x v="0"/>
    <x v="13"/>
    <x v="0"/>
    <x v="1"/>
  </r>
  <r>
    <x v="125"/>
    <x v="0"/>
    <x v="1"/>
    <x v="2"/>
    <x v="0"/>
    <x v="2"/>
    <x v="0"/>
    <x v="2"/>
    <x v="0"/>
    <x v="3"/>
    <x v="3"/>
    <x v="1"/>
    <x v="8"/>
    <x v="0"/>
    <x v="0"/>
  </r>
  <r>
    <x v="126"/>
    <x v="1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1"/>
    <x v="0"/>
    <x v="0"/>
    <x v="1"/>
    <x v="0"/>
    <x v="1"/>
    <x v="1"/>
    <x v="0"/>
    <x v="32"/>
    <x v="0"/>
    <x v="0"/>
  </r>
  <r>
    <x v="128"/>
    <x v="1"/>
    <x v="1"/>
    <x v="4"/>
    <x v="1"/>
    <x v="4"/>
    <x v="1"/>
    <x v="3"/>
    <x v="0"/>
    <x v="1"/>
    <x v="0"/>
    <x v="0"/>
    <x v="31"/>
    <x v="0"/>
    <x v="1"/>
  </r>
  <r>
    <x v="129"/>
    <x v="1"/>
    <x v="1"/>
    <x v="4"/>
    <x v="1"/>
    <x v="1"/>
    <x v="2"/>
    <x v="3"/>
    <x v="0"/>
    <x v="1"/>
    <x v="0"/>
    <x v="0"/>
    <x v="32"/>
    <x v="0"/>
    <x v="1"/>
  </r>
  <r>
    <x v="130"/>
    <x v="0"/>
    <x v="1"/>
    <x v="10"/>
    <x v="0"/>
    <x v="4"/>
    <x v="0"/>
    <x v="2"/>
    <x v="0"/>
    <x v="1"/>
    <x v="1"/>
    <x v="1"/>
    <x v="34"/>
    <x v="0"/>
    <x v="0"/>
  </r>
  <r>
    <x v="131"/>
    <x v="0"/>
    <x v="1"/>
    <x v="8"/>
    <x v="2"/>
    <x v="5"/>
    <x v="2"/>
    <x v="4"/>
    <x v="0"/>
    <x v="4"/>
    <x v="2"/>
    <x v="0"/>
    <x v="16"/>
    <x v="0"/>
    <x v="1"/>
  </r>
  <r>
    <x v="132"/>
    <x v="0"/>
    <x v="1"/>
    <x v="0"/>
    <x v="0"/>
    <x v="3"/>
    <x v="0"/>
    <x v="2"/>
    <x v="0"/>
    <x v="0"/>
    <x v="0"/>
    <x v="0"/>
    <x v="8"/>
    <x v="0"/>
    <x v="1"/>
  </r>
  <r>
    <x v="133"/>
    <x v="1"/>
    <x v="1"/>
    <x v="0"/>
    <x v="0"/>
    <x v="4"/>
    <x v="0"/>
    <x v="4"/>
    <x v="0"/>
    <x v="2"/>
    <x v="2"/>
    <x v="1"/>
    <x v="27"/>
    <x v="1"/>
    <x v="1"/>
  </r>
  <r>
    <x v="134"/>
    <x v="1"/>
    <x v="0"/>
    <x v="1"/>
    <x v="1"/>
    <x v="4"/>
    <x v="1"/>
    <x v="1"/>
    <x v="0"/>
    <x v="2"/>
    <x v="0"/>
    <x v="0"/>
    <x v="0"/>
    <x v="0"/>
    <x v="0"/>
  </r>
  <r>
    <x v="135"/>
    <x v="0"/>
    <x v="1"/>
    <x v="4"/>
    <x v="1"/>
    <x v="4"/>
    <x v="1"/>
    <x v="3"/>
    <x v="0"/>
    <x v="1"/>
    <x v="1"/>
    <x v="0"/>
    <x v="31"/>
    <x v="0"/>
    <x v="0"/>
  </r>
  <r>
    <x v="136"/>
    <x v="1"/>
    <x v="0"/>
    <x v="4"/>
    <x v="1"/>
    <x v="0"/>
    <x v="2"/>
    <x v="3"/>
    <x v="1"/>
    <x v="1"/>
    <x v="2"/>
    <x v="0"/>
    <x v="11"/>
    <x v="0"/>
    <x v="1"/>
  </r>
  <r>
    <x v="137"/>
    <x v="1"/>
    <x v="1"/>
    <x v="6"/>
    <x v="1"/>
    <x v="4"/>
    <x v="2"/>
    <x v="3"/>
    <x v="0"/>
    <x v="2"/>
    <x v="0"/>
    <x v="0"/>
    <x v="0"/>
    <x v="0"/>
    <x v="0"/>
  </r>
  <r>
    <x v="138"/>
    <x v="0"/>
    <x v="0"/>
    <x v="6"/>
    <x v="1"/>
    <x v="4"/>
    <x v="3"/>
    <x v="1"/>
    <x v="0"/>
    <x v="2"/>
    <x v="2"/>
    <x v="1"/>
    <x v="10"/>
    <x v="0"/>
    <x v="1"/>
  </r>
  <r>
    <x v="139"/>
    <x v="1"/>
    <x v="0"/>
    <x v="1"/>
    <x v="1"/>
    <x v="4"/>
    <x v="1"/>
    <x v="1"/>
    <x v="1"/>
    <x v="2"/>
    <x v="2"/>
    <x v="1"/>
    <x v="2"/>
    <x v="1"/>
    <x v="1"/>
  </r>
  <r>
    <x v="140"/>
    <x v="1"/>
    <x v="1"/>
    <x v="0"/>
    <x v="0"/>
    <x v="3"/>
    <x v="0"/>
    <x v="2"/>
    <x v="1"/>
    <x v="0"/>
    <x v="0"/>
    <x v="0"/>
    <x v="8"/>
    <x v="0"/>
    <x v="1"/>
  </r>
  <r>
    <x v="141"/>
    <x v="1"/>
    <x v="0"/>
    <x v="4"/>
    <x v="1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0"/>
    <x v="1"/>
  </r>
  <r>
    <x v="143"/>
    <x v="0"/>
    <x v="0"/>
    <x v="2"/>
    <x v="0"/>
    <x v="3"/>
    <x v="0"/>
    <x v="2"/>
    <x v="0"/>
    <x v="4"/>
    <x v="4"/>
    <x v="1"/>
    <x v="21"/>
    <x v="0"/>
    <x v="0"/>
  </r>
  <r>
    <x v="144"/>
    <x v="1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0"/>
    <x v="3"/>
    <x v="4"/>
    <x v="1"/>
    <x v="0"/>
    <x v="0"/>
    <x v="0"/>
    <x v="0"/>
    <x v="34"/>
    <x v="0"/>
    <x v="1"/>
  </r>
  <r>
    <x v="147"/>
    <x v="0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1"/>
    <x v="5"/>
    <x v="2"/>
    <x v="0"/>
    <x v="0"/>
    <x v="2"/>
    <x v="2"/>
    <x v="1"/>
    <x v="2"/>
    <x v="1"/>
    <x v="0"/>
  </r>
  <r>
    <x v="149"/>
    <x v="1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0"/>
    <x v="1"/>
    <x v="0"/>
    <x v="0"/>
    <x v="1"/>
    <x v="2"/>
    <x v="1"/>
    <x v="1"/>
    <x v="0"/>
    <x v="1"/>
  </r>
  <r>
    <x v="151"/>
    <x v="1"/>
    <x v="1"/>
    <x v="11"/>
    <x v="2"/>
    <x v="0"/>
    <x v="0"/>
    <x v="4"/>
    <x v="1"/>
    <x v="4"/>
    <x v="0"/>
    <x v="1"/>
    <x v="28"/>
    <x v="0"/>
    <x v="0"/>
  </r>
  <r>
    <x v="152"/>
    <x v="1"/>
    <x v="0"/>
    <x v="6"/>
    <x v="1"/>
    <x v="3"/>
    <x v="3"/>
    <x v="3"/>
    <x v="1"/>
    <x v="2"/>
    <x v="3"/>
    <x v="0"/>
    <x v="21"/>
    <x v="0"/>
    <x v="0"/>
  </r>
  <r>
    <x v="153"/>
    <x v="0"/>
    <x v="1"/>
    <x v="11"/>
    <x v="2"/>
    <x v="0"/>
    <x v="0"/>
    <x v="4"/>
    <x v="0"/>
    <x v="4"/>
    <x v="1"/>
    <x v="1"/>
    <x v="15"/>
    <x v="0"/>
    <x v="0"/>
  </r>
  <r>
    <x v="154"/>
    <x v="1"/>
    <x v="1"/>
    <x v="2"/>
    <x v="0"/>
    <x v="2"/>
    <x v="4"/>
    <x v="4"/>
    <x v="0"/>
    <x v="4"/>
    <x v="0"/>
    <x v="1"/>
    <x v="8"/>
    <x v="0"/>
    <x v="0"/>
  </r>
  <r>
    <x v="155"/>
    <x v="1"/>
    <x v="0"/>
    <x v="4"/>
    <x v="1"/>
    <x v="5"/>
    <x v="3"/>
    <x v="3"/>
    <x v="0"/>
    <x v="2"/>
    <x v="0"/>
    <x v="0"/>
    <x v="3"/>
    <x v="0"/>
    <x v="1"/>
  </r>
  <r>
    <x v="156"/>
    <x v="0"/>
    <x v="0"/>
    <x v="12"/>
    <x v="2"/>
    <x v="2"/>
    <x v="1"/>
    <x v="2"/>
    <x v="0"/>
    <x v="3"/>
    <x v="0"/>
    <x v="0"/>
    <x v="14"/>
    <x v="0"/>
    <x v="0"/>
  </r>
  <r>
    <x v="157"/>
    <x v="1"/>
    <x v="1"/>
    <x v="4"/>
    <x v="1"/>
    <x v="4"/>
    <x v="1"/>
    <x v="3"/>
    <x v="1"/>
    <x v="0"/>
    <x v="0"/>
    <x v="0"/>
    <x v="5"/>
    <x v="0"/>
    <x v="0"/>
  </r>
  <r>
    <x v="158"/>
    <x v="1"/>
    <x v="0"/>
    <x v="6"/>
    <x v="1"/>
    <x v="4"/>
    <x v="1"/>
    <x v="3"/>
    <x v="1"/>
    <x v="1"/>
    <x v="0"/>
    <x v="0"/>
    <x v="9"/>
    <x v="0"/>
    <x v="1"/>
  </r>
  <r>
    <x v="159"/>
    <x v="0"/>
    <x v="0"/>
    <x v="4"/>
    <x v="1"/>
    <x v="0"/>
    <x v="0"/>
    <x v="3"/>
    <x v="0"/>
    <x v="0"/>
    <x v="0"/>
    <x v="0"/>
    <x v="28"/>
    <x v="0"/>
    <x v="0"/>
  </r>
  <r>
    <x v="160"/>
    <x v="1"/>
    <x v="0"/>
    <x v="10"/>
    <x v="0"/>
    <x v="0"/>
    <x v="0"/>
    <x v="2"/>
    <x v="0"/>
    <x v="1"/>
    <x v="2"/>
    <x v="1"/>
    <x v="20"/>
    <x v="0"/>
    <x v="1"/>
  </r>
  <r>
    <x v="161"/>
    <x v="0"/>
    <x v="0"/>
    <x v="6"/>
    <x v="1"/>
    <x v="4"/>
    <x v="2"/>
    <x v="3"/>
    <x v="0"/>
    <x v="0"/>
    <x v="0"/>
    <x v="0"/>
    <x v="8"/>
    <x v="0"/>
    <x v="1"/>
  </r>
  <r>
    <x v="162"/>
    <x v="1"/>
    <x v="0"/>
    <x v="10"/>
    <x v="0"/>
    <x v="4"/>
    <x v="0"/>
    <x v="2"/>
    <x v="1"/>
    <x v="1"/>
    <x v="0"/>
    <x v="1"/>
    <x v="13"/>
    <x v="0"/>
    <x v="1"/>
  </r>
  <r>
    <x v="163"/>
    <x v="1"/>
    <x v="1"/>
    <x v="0"/>
    <x v="0"/>
    <x v="4"/>
    <x v="1"/>
    <x v="0"/>
    <x v="1"/>
    <x v="2"/>
    <x v="3"/>
    <x v="1"/>
    <x v="31"/>
    <x v="0"/>
    <x v="0"/>
  </r>
  <r>
    <x v="164"/>
    <x v="0"/>
    <x v="1"/>
    <x v="4"/>
    <x v="1"/>
    <x v="3"/>
    <x v="1"/>
    <x v="3"/>
    <x v="0"/>
    <x v="1"/>
    <x v="1"/>
    <x v="1"/>
    <x v="37"/>
    <x v="2"/>
    <x v="1"/>
  </r>
  <r>
    <x v="165"/>
    <x v="0"/>
    <x v="0"/>
    <x v="4"/>
    <x v="1"/>
    <x v="3"/>
    <x v="1"/>
    <x v="3"/>
    <x v="1"/>
    <x v="1"/>
    <x v="0"/>
    <x v="1"/>
    <x v="37"/>
    <x v="2"/>
    <x v="0"/>
  </r>
  <r>
    <x v="166"/>
    <x v="1"/>
    <x v="1"/>
    <x v="8"/>
    <x v="2"/>
    <x v="0"/>
    <x v="0"/>
    <x v="2"/>
    <x v="0"/>
    <x v="1"/>
    <x v="1"/>
    <x v="1"/>
    <x v="15"/>
    <x v="0"/>
    <x v="1"/>
  </r>
  <r>
    <x v="167"/>
    <x v="1"/>
    <x v="1"/>
    <x v="11"/>
    <x v="2"/>
    <x v="3"/>
    <x v="2"/>
    <x v="4"/>
    <x v="0"/>
    <x v="4"/>
    <x v="4"/>
    <x v="1"/>
    <x v="11"/>
    <x v="0"/>
    <x v="0"/>
  </r>
  <r>
    <x v="168"/>
    <x v="1"/>
    <x v="1"/>
    <x v="3"/>
    <x v="0"/>
    <x v="3"/>
    <x v="0"/>
    <x v="2"/>
    <x v="1"/>
    <x v="1"/>
    <x v="2"/>
    <x v="1"/>
    <x v="3"/>
    <x v="0"/>
    <x v="1"/>
  </r>
  <r>
    <x v="169"/>
    <x v="0"/>
    <x v="1"/>
    <x v="1"/>
    <x v="1"/>
    <x v="0"/>
    <x v="0"/>
    <x v="1"/>
    <x v="0"/>
    <x v="0"/>
    <x v="0"/>
    <x v="0"/>
    <x v="15"/>
    <x v="0"/>
    <x v="0"/>
  </r>
  <r>
    <x v="170"/>
    <x v="0"/>
    <x v="0"/>
    <x v="12"/>
    <x v="2"/>
    <x v="5"/>
    <x v="1"/>
    <x v="2"/>
    <x v="0"/>
    <x v="3"/>
    <x v="2"/>
    <x v="0"/>
    <x v="33"/>
    <x v="1"/>
    <x v="1"/>
  </r>
  <r>
    <x v="171"/>
    <x v="0"/>
    <x v="0"/>
    <x v="2"/>
    <x v="0"/>
    <x v="2"/>
    <x v="0"/>
    <x v="4"/>
    <x v="0"/>
    <x v="2"/>
    <x v="1"/>
    <x v="0"/>
    <x v="33"/>
    <x v="1"/>
    <x v="0"/>
  </r>
  <r>
    <x v="172"/>
    <x v="0"/>
    <x v="1"/>
    <x v="4"/>
    <x v="1"/>
    <x v="3"/>
    <x v="3"/>
    <x v="3"/>
    <x v="1"/>
    <x v="2"/>
    <x v="0"/>
    <x v="0"/>
    <x v="6"/>
    <x v="0"/>
    <x v="0"/>
  </r>
  <r>
    <x v="173"/>
    <x v="0"/>
    <x v="0"/>
    <x v="4"/>
    <x v="1"/>
    <x v="3"/>
    <x v="1"/>
    <x v="3"/>
    <x v="0"/>
    <x v="1"/>
    <x v="1"/>
    <x v="1"/>
    <x v="40"/>
    <x v="2"/>
    <x v="0"/>
  </r>
  <r>
    <x v="174"/>
    <x v="1"/>
    <x v="1"/>
    <x v="14"/>
    <x v="0"/>
    <x v="3"/>
    <x v="4"/>
    <x v="0"/>
    <x v="0"/>
    <x v="0"/>
    <x v="0"/>
    <x v="0"/>
    <x v="34"/>
    <x v="0"/>
    <x v="1"/>
  </r>
  <r>
    <x v="175"/>
    <x v="1"/>
    <x v="0"/>
    <x v="2"/>
    <x v="0"/>
    <x v="4"/>
    <x v="1"/>
    <x v="0"/>
    <x v="0"/>
    <x v="2"/>
    <x v="2"/>
    <x v="1"/>
    <x v="31"/>
    <x v="0"/>
    <x v="1"/>
  </r>
  <r>
    <x v="176"/>
    <x v="1"/>
    <x v="0"/>
    <x v="6"/>
    <x v="1"/>
    <x v="3"/>
    <x v="1"/>
    <x v="3"/>
    <x v="0"/>
    <x v="0"/>
    <x v="0"/>
    <x v="1"/>
    <x v="19"/>
    <x v="2"/>
    <x v="1"/>
  </r>
  <r>
    <x v="177"/>
    <x v="1"/>
    <x v="0"/>
    <x v="15"/>
    <x v="2"/>
    <x v="4"/>
    <x v="1"/>
    <x v="2"/>
    <x v="1"/>
    <x v="4"/>
    <x v="2"/>
    <x v="0"/>
    <x v="28"/>
    <x v="0"/>
    <x v="0"/>
  </r>
  <r>
    <x v="178"/>
    <x v="0"/>
    <x v="1"/>
    <x v="5"/>
    <x v="2"/>
    <x v="5"/>
    <x v="1"/>
    <x v="2"/>
    <x v="1"/>
    <x v="2"/>
    <x v="4"/>
    <x v="0"/>
    <x v="10"/>
    <x v="0"/>
    <x v="1"/>
  </r>
  <r>
    <x v="179"/>
    <x v="0"/>
    <x v="0"/>
    <x v="4"/>
    <x v="1"/>
    <x v="3"/>
    <x v="4"/>
    <x v="3"/>
    <x v="0"/>
    <x v="0"/>
    <x v="0"/>
    <x v="0"/>
    <x v="34"/>
    <x v="0"/>
    <x v="1"/>
  </r>
  <r>
    <x v="180"/>
    <x v="1"/>
    <x v="1"/>
    <x v="4"/>
    <x v="1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1"/>
    <x v="2"/>
    <x v="3"/>
    <x v="1"/>
    <x v="10"/>
    <x v="0"/>
    <x v="1"/>
  </r>
  <r>
    <x v="182"/>
    <x v="0"/>
    <x v="0"/>
    <x v="4"/>
    <x v="1"/>
    <x v="4"/>
    <x v="2"/>
    <x v="3"/>
    <x v="1"/>
    <x v="1"/>
    <x v="0"/>
    <x v="0"/>
    <x v="13"/>
    <x v="0"/>
    <x v="0"/>
  </r>
  <r>
    <x v="183"/>
    <x v="1"/>
    <x v="1"/>
    <x v="0"/>
    <x v="0"/>
    <x v="4"/>
    <x v="0"/>
    <x v="4"/>
    <x v="0"/>
    <x v="2"/>
    <x v="2"/>
    <x v="1"/>
    <x v="29"/>
    <x v="1"/>
    <x v="1"/>
  </r>
  <r>
    <x v="184"/>
    <x v="0"/>
    <x v="0"/>
    <x v="12"/>
    <x v="2"/>
    <x v="5"/>
    <x v="2"/>
    <x v="4"/>
    <x v="1"/>
    <x v="3"/>
    <x v="4"/>
    <x v="0"/>
    <x v="7"/>
    <x v="0"/>
    <x v="0"/>
  </r>
  <r>
    <x v="185"/>
    <x v="0"/>
    <x v="0"/>
    <x v="8"/>
    <x v="2"/>
    <x v="0"/>
    <x v="0"/>
    <x v="2"/>
    <x v="0"/>
    <x v="1"/>
    <x v="1"/>
    <x v="1"/>
    <x v="15"/>
    <x v="0"/>
    <x v="1"/>
  </r>
  <r>
    <x v="186"/>
    <x v="0"/>
    <x v="0"/>
    <x v="1"/>
    <x v="1"/>
    <x v="1"/>
    <x v="2"/>
    <x v="0"/>
    <x v="1"/>
    <x v="2"/>
    <x v="3"/>
    <x v="1"/>
    <x v="16"/>
    <x v="0"/>
    <x v="1"/>
  </r>
  <r>
    <x v="187"/>
    <x v="1"/>
    <x v="1"/>
    <x v="2"/>
    <x v="0"/>
    <x v="2"/>
    <x v="1"/>
    <x v="2"/>
    <x v="1"/>
    <x v="2"/>
    <x v="4"/>
    <x v="0"/>
    <x v="14"/>
    <x v="0"/>
    <x v="0"/>
  </r>
  <r>
    <x v="188"/>
    <x v="0"/>
    <x v="0"/>
    <x v="3"/>
    <x v="0"/>
    <x v="3"/>
    <x v="0"/>
    <x v="2"/>
    <x v="0"/>
    <x v="3"/>
    <x v="4"/>
    <x v="1"/>
    <x v="21"/>
    <x v="0"/>
    <x v="1"/>
  </r>
  <r>
    <x v="189"/>
    <x v="0"/>
    <x v="1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1"/>
    <x v="2"/>
    <x v="0"/>
    <x v="0"/>
    <x v="2"/>
    <x v="2"/>
    <x v="1"/>
    <x v="10"/>
    <x v="0"/>
    <x v="0"/>
  </r>
  <r>
    <x v="191"/>
    <x v="1"/>
    <x v="1"/>
    <x v="8"/>
    <x v="2"/>
    <x v="4"/>
    <x v="2"/>
    <x v="3"/>
    <x v="0"/>
    <x v="0"/>
    <x v="0"/>
    <x v="0"/>
    <x v="4"/>
    <x v="0"/>
    <x v="1"/>
  </r>
  <r>
    <x v="192"/>
    <x v="1"/>
    <x v="0"/>
    <x v="2"/>
    <x v="0"/>
    <x v="2"/>
    <x v="0"/>
    <x v="4"/>
    <x v="0"/>
    <x v="2"/>
    <x v="4"/>
    <x v="0"/>
    <x v="24"/>
    <x v="1"/>
    <x v="0"/>
  </r>
  <r>
    <x v="193"/>
    <x v="0"/>
    <x v="0"/>
    <x v="3"/>
    <x v="0"/>
    <x v="2"/>
    <x v="0"/>
    <x v="2"/>
    <x v="0"/>
    <x v="3"/>
    <x v="4"/>
    <x v="1"/>
    <x v="3"/>
    <x v="0"/>
    <x v="0"/>
  </r>
  <r>
    <x v="194"/>
    <x v="1"/>
    <x v="0"/>
    <x v="4"/>
    <x v="1"/>
    <x v="3"/>
    <x v="3"/>
    <x v="3"/>
    <x v="1"/>
    <x v="2"/>
    <x v="0"/>
    <x v="0"/>
    <x v="21"/>
    <x v="0"/>
    <x v="0"/>
  </r>
  <r>
    <x v="195"/>
    <x v="1"/>
    <x v="1"/>
    <x v="6"/>
    <x v="1"/>
    <x v="3"/>
    <x v="0"/>
    <x v="1"/>
    <x v="0"/>
    <x v="0"/>
    <x v="0"/>
    <x v="1"/>
    <x v="37"/>
    <x v="2"/>
    <x v="1"/>
  </r>
  <r>
    <x v="196"/>
    <x v="1"/>
    <x v="0"/>
    <x v="14"/>
    <x v="0"/>
    <x v="3"/>
    <x v="4"/>
    <x v="0"/>
    <x v="0"/>
    <x v="0"/>
    <x v="3"/>
    <x v="0"/>
    <x v="4"/>
    <x v="0"/>
    <x v="0"/>
  </r>
  <r>
    <x v="197"/>
    <x v="0"/>
    <x v="1"/>
    <x v="10"/>
    <x v="0"/>
    <x v="4"/>
    <x v="4"/>
    <x v="4"/>
    <x v="0"/>
    <x v="1"/>
    <x v="0"/>
    <x v="1"/>
    <x v="41"/>
    <x v="1"/>
    <x v="1"/>
  </r>
  <r>
    <x v="198"/>
    <x v="1"/>
    <x v="0"/>
    <x v="11"/>
    <x v="2"/>
    <x v="3"/>
    <x v="4"/>
    <x v="4"/>
    <x v="1"/>
    <x v="1"/>
    <x v="3"/>
    <x v="1"/>
    <x v="32"/>
    <x v="0"/>
    <x v="1"/>
  </r>
  <r>
    <x v="199"/>
    <x v="1"/>
    <x v="1"/>
    <x v="2"/>
    <x v="0"/>
    <x v="3"/>
    <x v="0"/>
    <x v="2"/>
    <x v="1"/>
    <x v="4"/>
    <x v="4"/>
    <x v="1"/>
    <x v="6"/>
    <x v="0"/>
    <x v="1"/>
  </r>
  <r>
    <x v="200"/>
    <x v="1"/>
    <x v="1"/>
    <x v="10"/>
    <x v="0"/>
    <x v="3"/>
    <x v="0"/>
    <x v="2"/>
    <x v="1"/>
    <x v="4"/>
    <x v="1"/>
    <x v="1"/>
    <x v="23"/>
    <x v="0"/>
    <x v="0"/>
  </r>
  <r>
    <x v="201"/>
    <x v="0"/>
    <x v="1"/>
    <x v="4"/>
    <x v="1"/>
    <x v="0"/>
    <x v="2"/>
    <x v="3"/>
    <x v="0"/>
    <x v="0"/>
    <x v="1"/>
    <x v="1"/>
    <x v="40"/>
    <x v="2"/>
    <x v="1"/>
  </r>
  <r>
    <x v="202"/>
    <x v="1"/>
    <x v="1"/>
    <x v="0"/>
    <x v="0"/>
    <x v="4"/>
    <x v="1"/>
    <x v="1"/>
    <x v="0"/>
    <x v="0"/>
    <x v="3"/>
    <x v="0"/>
    <x v="6"/>
    <x v="0"/>
    <x v="1"/>
  </r>
  <r>
    <x v="203"/>
    <x v="1"/>
    <x v="0"/>
    <x v="10"/>
    <x v="0"/>
    <x v="0"/>
    <x v="1"/>
    <x v="0"/>
    <x v="0"/>
    <x v="1"/>
    <x v="2"/>
    <x v="1"/>
    <x v="30"/>
    <x v="0"/>
    <x v="1"/>
  </r>
  <r>
    <x v="204"/>
    <x v="1"/>
    <x v="0"/>
    <x v="8"/>
    <x v="2"/>
    <x v="1"/>
    <x v="2"/>
    <x v="2"/>
    <x v="1"/>
    <x v="1"/>
    <x v="1"/>
    <x v="0"/>
    <x v="36"/>
    <x v="0"/>
    <x v="0"/>
  </r>
  <r>
    <x v="205"/>
    <x v="0"/>
    <x v="1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2"/>
    <x v="1"/>
    <x v="2"/>
    <x v="1"/>
    <x v="2"/>
    <x v="4"/>
    <x v="0"/>
    <x v="24"/>
    <x v="1"/>
    <x v="0"/>
  </r>
  <r>
    <x v="207"/>
    <x v="1"/>
    <x v="0"/>
    <x v="6"/>
    <x v="1"/>
    <x v="3"/>
    <x v="3"/>
    <x v="3"/>
    <x v="0"/>
    <x v="2"/>
    <x v="3"/>
    <x v="0"/>
    <x v="22"/>
    <x v="2"/>
    <x v="1"/>
  </r>
  <r>
    <x v="208"/>
    <x v="1"/>
    <x v="0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1"/>
    <x v="0"/>
    <x v="0"/>
    <x v="0"/>
    <x v="0"/>
    <x v="0"/>
    <x v="0"/>
    <x v="1"/>
  </r>
  <r>
    <x v="210"/>
    <x v="0"/>
    <x v="0"/>
    <x v="2"/>
    <x v="0"/>
    <x v="5"/>
    <x v="4"/>
    <x v="4"/>
    <x v="0"/>
    <x v="1"/>
    <x v="0"/>
    <x v="1"/>
    <x v="4"/>
    <x v="0"/>
    <x v="0"/>
  </r>
  <r>
    <x v="211"/>
    <x v="0"/>
    <x v="0"/>
    <x v="14"/>
    <x v="0"/>
    <x v="3"/>
    <x v="4"/>
    <x v="0"/>
    <x v="0"/>
    <x v="0"/>
    <x v="0"/>
    <x v="0"/>
    <x v="4"/>
    <x v="0"/>
    <x v="1"/>
  </r>
  <r>
    <x v="212"/>
    <x v="1"/>
    <x v="0"/>
    <x v="1"/>
    <x v="1"/>
    <x v="3"/>
    <x v="1"/>
    <x v="1"/>
    <x v="1"/>
    <x v="1"/>
    <x v="1"/>
    <x v="0"/>
    <x v="25"/>
    <x v="2"/>
    <x v="0"/>
  </r>
  <r>
    <x v="213"/>
    <x v="1"/>
    <x v="1"/>
    <x v="3"/>
    <x v="0"/>
    <x v="3"/>
    <x v="0"/>
    <x v="2"/>
    <x v="1"/>
    <x v="3"/>
    <x v="4"/>
    <x v="1"/>
    <x v="23"/>
    <x v="0"/>
    <x v="1"/>
  </r>
  <r>
    <x v="214"/>
    <x v="0"/>
    <x v="1"/>
    <x v="1"/>
    <x v="1"/>
    <x v="0"/>
    <x v="0"/>
    <x v="1"/>
    <x v="0"/>
    <x v="0"/>
    <x v="0"/>
    <x v="0"/>
    <x v="27"/>
    <x v="1"/>
    <x v="1"/>
  </r>
  <r>
    <x v="215"/>
    <x v="1"/>
    <x v="1"/>
    <x v="2"/>
    <x v="0"/>
    <x v="5"/>
    <x v="1"/>
    <x v="2"/>
    <x v="1"/>
    <x v="2"/>
    <x v="1"/>
    <x v="0"/>
    <x v="9"/>
    <x v="0"/>
    <x v="1"/>
  </r>
  <r>
    <x v="216"/>
    <x v="0"/>
    <x v="1"/>
    <x v="6"/>
    <x v="1"/>
    <x v="4"/>
    <x v="3"/>
    <x v="1"/>
    <x v="0"/>
    <x v="4"/>
    <x v="2"/>
    <x v="1"/>
    <x v="9"/>
    <x v="0"/>
    <x v="0"/>
  </r>
  <r>
    <x v="217"/>
    <x v="1"/>
    <x v="0"/>
    <x v="6"/>
    <x v="1"/>
    <x v="3"/>
    <x v="3"/>
    <x v="3"/>
    <x v="1"/>
    <x v="2"/>
    <x v="0"/>
    <x v="0"/>
    <x v="37"/>
    <x v="2"/>
    <x v="0"/>
  </r>
  <r>
    <x v="218"/>
    <x v="1"/>
    <x v="1"/>
    <x v="4"/>
    <x v="1"/>
    <x v="0"/>
    <x v="0"/>
    <x v="3"/>
    <x v="0"/>
    <x v="0"/>
    <x v="0"/>
    <x v="0"/>
    <x v="28"/>
    <x v="0"/>
    <x v="0"/>
  </r>
  <r>
    <x v="219"/>
    <x v="1"/>
    <x v="1"/>
    <x v="4"/>
    <x v="1"/>
    <x v="3"/>
    <x v="1"/>
    <x v="3"/>
    <x v="0"/>
    <x v="1"/>
    <x v="3"/>
    <x v="1"/>
    <x v="22"/>
    <x v="2"/>
    <x v="1"/>
  </r>
  <r>
    <x v="220"/>
    <x v="0"/>
    <x v="1"/>
    <x v="10"/>
    <x v="0"/>
    <x v="0"/>
    <x v="0"/>
    <x v="2"/>
    <x v="0"/>
    <x v="1"/>
    <x v="2"/>
    <x v="1"/>
    <x v="1"/>
    <x v="0"/>
    <x v="1"/>
  </r>
  <r>
    <x v="221"/>
    <x v="1"/>
    <x v="1"/>
    <x v="4"/>
    <x v="1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1"/>
    <x v="0"/>
    <x v="0"/>
    <x v="0"/>
    <x v="0"/>
    <x v="0"/>
    <x v="0"/>
  </r>
  <r>
    <x v="223"/>
    <x v="1"/>
    <x v="0"/>
    <x v="3"/>
    <x v="0"/>
    <x v="2"/>
    <x v="0"/>
    <x v="2"/>
    <x v="0"/>
    <x v="3"/>
    <x v="4"/>
    <x v="1"/>
    <x v="32"/>
    <x v="0"/>
    <x v="0"/>
  </r>
  <r>
    <x v="224"/>
    <x v="0"/>
    <x v="0"/>
    <x v="1"/>
    <x v="1"/>
    <x v="4"/>
    <x v="1"/>
    <x v="1"/>
    <x v="1"/>
    <x v="2"/>
    <x v="0"/>
    <x v="1"/>
    <x v="41"/>
    <x v="1"/>
    <x v="0"/>
  </r>
  <r>
    <x v="225"/>
    <x v="0"/>
    <x v="1"/>
    <x v="6"/>
    <x v="1"/>
    <x v="0"/>
    <x v="1"/>
    <x v="3"/>
    <x v="0"/>
    <x v="0"/>
    <x v="3"/>
    <x v="0"/>
    <x v="11"/>
    <x v="0"/>
    <x v="0"/>
  </r>
  <r>
    <x v="226"/>
    <x v="1"/>
    <x v="0"/>
    <x v="6"/>
    <x v="1"/>
    <x v="1"/>
    <x v="2"/>
    <x v="3"/>
    <x v="0"/>
    <x v="1"/>
    <x v="0"/>
    <x v="0"/>
    <x v="0"/>
    <x v="0"/>
    <x v="1"/>
  </r>
  <r>
    <x v="227"/>
    <x v="0"/>
    <x v="1"/>
    <x v="4"/>
    <x v="1"/>
    <x v="1"/>
    <x v="3"/>
    <x v="3"/>
    <x v="0"/>
    <x v="2"/>
    <x v="0"/>
    <x v="0"/>
    <x v="1"/>
    <x v="0"/>
    <x v="0"/>
  </r>
  <r>
    <x v="228"/>
    <x v="0"/>
    <x v="0"/>
    <x v="6"/>
    <x v="1"/>
    <x v="0"/>
    <x v="4"/>
    <x v="1"/>
    <x v="0"/>
    <x v="0"/>
    <x v="0"/>
    <x v="0"/>
    <x v="12"/>
    <x v="0"/>
    <x v="0"/>
  </r>
  <r>
    <x v="229"/>
    <x v="1"/>
    <x v="1"/>
    <x v="2"/>
    <x v="0"/>
    <x v="2"/>
    <x v="2"/>
    <x v="4"/>
    <x v="0"/>
    <x v="4"/>
    <x v="4"/>
    <x v="0"/>
    <x v="42"/>
    <x v="0"/>
    <x v="0"/>
  </r>
  <r>
    <x v="230"/>
    <x v="0"/>
    <x v="1"/>
    <x v="7"/>
    <x v="2"/>
    <x v="5"/>
    <x v="1"/>
    <x v="4"/>
    <x v="0"/>
    <x v="4"/>
    <x v="4"/>
    <x v="0"/>
    <x v="16"/>
    <x v="0"/>
    <x v="0"/>
  </r>
  <r>
    <x v="231"/>
    <x v="0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1"/>
    <x v="5"/>
    <x v="4"/>
    <x v="1"/>
    <x v="0"/>
    <x v="0"/>
    <x v="0"/>
    <x v="0"/>
    <x v="12"/>
    <x v="0"/>
    <x v="0"/>
  </r>
  <r>
    <x v="233"/>
    <x v="0"/>
    <x v="1"/>
    <x v="6"/>
    <x v="1"/>
    <x v="3"/>
    <x v="0"/>
    <x v="1"/>
    <x v="0"/>
    <x v="0"/>
    <x v="0"/>
    <x v="1"/>
    <x v="40"/>
    <x v="2"/>
    <x v="1"/>
  </r>
  <r>
    <x v="234"/>
    <x v="1"/>
    <x v="1"/>
    <x v="8"/>
    <x v="2"/>
    <x v="3"/>
    <x v="0"/>
    <x v="2"/>
    <x v="1"/>
    <x v="3"/>
    <x v="4"/>
    <x v="1"/>
    <x v="11"/>
    <x v="0"/>
    <x v="1"/>
  </r>
  <r>
    <x v="235"/>
    <x v="0"/>
    <x v="0"/>
    <x v="4"/>
    <x v="1"/>
    <x v="0"/>
    <x v="4"/>
    <x v="1"/>
    <x v="0"/>
    <x v="0"/>
    <x v="0"/>
    <x v="0"/>
    <x v="43"/>
    <x v="1"/>
    <x v="1"/>
  </r>
  <r>
    <x v="236"/>
    <x v="1"/>
    <x v="0"/>
    <x v="1"/>
    <x v="1"/>
    <x v="2"/>
    <x v="4"/>
    <x v="1"/>
    <x v="0"/>
    <x v="0"/>
    <x v="0"/>
    <x v="0"/>
    <x v="20"/>
    <x v="0"/>
    <x v="1"/>
  </r>
  <r>
    <x v="237"/>
    <x v="0"/>
    <x v="0"/>
    <x v="4"/>
    <x v="1"/>
    <x v="3"/>
    <x v="1"/>
    <x v="3"/>
    <x v="1"/>
    <x v="1"/>
    <x v="0"/>
    <x v="1"/>
    <x v="22"/>
    <x v="2"/>
    <x v="1"/>
  </r>
  <r>
    <x v="238"/>
    <x v="0"/>
    <x v="1"/>
    <x v="3"/>
    <x v="0"/>
    <x v="2"/>
    <x v="1"/>
    <x v="0"/>
    <x v="0"/>
    <x v="4"/>
    <x v="2"/>
    <x v="1"/>
    <x v="30"/>
    <x v="0"/>
    <x v="0"/>
  </r>
  <r>
    <x v="239"/>
    <x v="1"/>
    <x v="0"/>
    <x v="1"/>
    <x v="1"/>
    <x v="3"/>
    <x v="2"/>
    <x v="3"/>
    <x v="1"/>
    <x v="1"/>
    <x v="1"/>
    <x v="0"/>
    <x v="17"/>
    <x v="0"/>
    <x v="1"/>
  </r>
  <r>
    <x v="240"/>
    <x v="0"/>
    <x v="1"/>
    <x v="4"/>
    <x v="1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1"/>
    <x v="0"/>
    <x v="2"/>
    <x v="0"/>
    <x v="0"/>
    <x v="40"/>
    <x v="2"/>
    <x v="0"/>
  </r>
  <r>
    <x v="242"/>
    <x v="1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1"/>
    <x v="3"/>
    <x v="2"/>
    <x v="3"/>
    <x v="1"/>
    <x v="1"/>
    <x v="1"/>
    <x v="0"/>
    <x v="19"/>
    <x v="2"/>
    <x v="0"/>
  </r>
  <r>
    <x v="244"/>
    <x v="0"/>
    <x v="0"/>
    <x v="7"/>
    <x v="2"/>
    <x v="1"/>
    <x v="0"/>
    <x v="4"/>
    <x v="1"/>
    <x v="2"/>
    <x v="4"/>
    <x v="0"/>
    <x v="31"/>
    <x v="0"/>
    <x v="1"/>
  </r>
  <r>
    <x v="245"/>
    <x v="0"/>
    <x v="1"/>
    <x v="15"/>
    <x v="2"/>
    <x v="2"/>
    <x v="0"/>
    <x v="4"/>
    <x v="0"/>
    <x v="3"/>
    <x v="1"/>
    <x v="1"/>
    <x v="28"/>
    <x v="0"/>
    <x v="1"/>
  </r>
  <r>
    <x v="246"/>
    <x v="0"/>
    <x v="0"/>
    <x v="12"/>
    <x v="2"/>
    <x v="1"/>
    <x v="1"/>
    <x v="2"/>
    <x v="0"/>
    <x v="4"/>
    <x v="0"/>
    <x v="0"/>
    <x v="36"/>
    <x v="0"/>
    <x v="1"/>
  </r>
  <r>
    <x v="247"/>
    <x v="0"/>
    <x v="0"/>
    <x v="11"/>
    <x v="2"/>
    <x v="3"/>
    <x v="2"/>
    <x v="4"/>
    <x v="0"/>
    <x v="3"/>
    <x v="4"/>
    <x v="1"/>
    <x v="17"/>
    <x v="0"/>
    <x v="1"/>
  </r>
  <r>
    <x v="248"/>
    <x v="0"/>
    <x v="0"/>
    <x v="4"/>
    <x v="1"/>
    <x v="2"/>
    <x v="2"/>
    <x v="0"/>
    <x v="1"/>
    <x v="4"/>
    <x v="3"/>
    <x v="1"/>
    <x v="24"/>
    <x v="1"/>
    <x v="0"/>
  </r>
  <r>
    <x v="249"/>
    <x v="1"/>
    <x v="1"/>
    <x v="3"/>
    <x v="0"/>
    <x v="3"/>
    <x v="0"/>
    <x v="2"/>
    <x v="0"/>
    <x v="1"/>
    <x v="2"/>
    <x v="1"/>
    <x v="34"/>
    <x v="0"/>
    <x v="1"/>
  </r>
  <r>
    <x v="250"/>
    <x v="0"/>
    <x v="1"/>
    <x v="11"/>
    <x v="2"/>
    <x v="2"/>
    <x v="4"/>
    <x v="4"/>
    <x v="1"/>
    <x v="1"/>
    <x v="3"/>
    <x v="1"/>
    <x v="44"/>
    <x v="1"/>
    <x v="1"/>
  </r>
  <r>
    <x v="251"/>
    <x v="0"/>
    <x v="1"/>
    <x v="12"/>
    <x v="2"/>
    <x v="5"/>
    <x v="2"/>
    <x v="2"/>
    <x v="0"/>
    <x v="4"/>
    <x v="0"/>
    <x v="0"/>
    <x v="10"/>
    <x v="0"/>
    <x v="0"/>
  </r>
  <r>
    <x v="252"/>
    <x v="1"/>
    <x v="1"/>
    <x v="10"/>
    <x v="0"/>
    <x v="3"/>
    <x v="0"/>
    <x v="2"/>
    <x v="1"/>
    <x v="3"/>
    <x v="1"/>
    <x v="1"/>
    <x v="23"/>
    <x v="0"/>
    <x v="0"/>
  </r>
  <r>
    <x v="253"/>
    <x v="0"/>
    <x v="1"/>
    <x v="11"/>
    <x v="2"/>
    <x v="1"/>
    <x v="3"/>
    <x v="2"/>
    <x v="0"/>
    <x v="0"/>
    <x v="4"/>
    <x v="0"/>
    <x v="14"/>
    <x v="0"/>
    <x v="1"/>
  </r>
  <r>
    <x v="254"/>
    <x v="1"/>
    <x v="1"/>
    <x v="6"/>
    <x v="1"/>
    <x v="4"/>
    <x v="3"/>
    <x v="1"/>
    <x v="0"/>
    <x v="2"/>
    <x v="2"/>
    <x v="1"/>
    <x v="42"/>
    <x v="0"/>
    <x v="0"/>
  </r>
  <r>
    <x v="255"/>
    <x v="1"/>
    <x v="0"/>
    <x v="1"/>
    <x v="1"/>
    <x v="1"/>
    <x v="4"/>
    <x v="1"/>
    <x v="0"/>
    <x v="0"/>
    <x v="0"/>
    <x v="0"/>
    <x v="15"/>
    <x v="0"/>
    <x v="1"/>
  </r>
  <r>
    <x v="256"/>
    <x v="0"/>
    <x v="1"/>
    <x v="6"/>
    <x v="1"/>
    <x v="0"/>
    <x v="4"/>
    <x v="1"/>
    <x v="0"/>
    <x v="0"/>
    <x v="0"/>
    <x v="0"/>
    <x v="1"/>
    <x v="0"/>
    <x v="0"/>
  </r>
  <r>
    <x v="257"/>
    <x v="1"/>
    <x v="0"/>
    <x v="14"/>
    <x v="0"/>
    <x v="3"/>
    <x v="4"/>
    <x v="0"/>
    <x v="0"/>
    <x v="0"/>
    <x v="0"/>
    <x v="0"/>
    <x v="4"/>
    <x v="0"/>
    <x v="1"/>
  </r>
  <r>
    <x v="258"/>
    <x v="1"/>
    <x v="0"/>
    <x v="11"/>
    <x v="2"/>
    <x v="1"/>
    <x v="1"/>
    <x v="4"/>
    <x v="0"/>
    <x v="3"/>
    <x v="4"/>
    <x v="0"/>
    <x v="16"/>
    <x v="0"/>
    <x v="0"/>
  </r>
  <r>
    <x v="259"/>
    <x v="0"/>
    <x v="1"/>
    <x v="13"/>
    <x v="2"/>
    <x v="3"/>
    <x v="0"/>
    <x v="4"/>
    <x v="0"/>
    <x v="3"/>
    <x v="0"/>
    <x v="1"/>
    <x v="34"/>
    <x v="0"/>
    <x v="1"/>
  </r>
  <r>
    <x v="260"/>
    <x v="1"/>
    <x v="0"/>
    <x v="1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1"/>
    <x v="4"/>
    <x v="1"/>
    <x v="3"/>
    <x v="0"/>
    <x v="0"/>
    <x v="3"/>
    <x v="0"/>
    <x v="36"/>
    <x v="0"/>
    <x v="0"/>
  </r>
  <r>
    <x v="263"/>
    <x v="1"/>
    <x v="0"/>
    <x v="3"/>
    <x v="0"/>
    <x v="2"/>
    <x v="0"/>
    <x v="2"/>
    <x v="0"/>
    <x v="4"/>
    <x v="4"/>
    <x v="1"/>
    <x v="32"/>
    <x v="0"/>
    <x v="0"/>
  </r>
  <r>
    <x v="264"/>
    <x v="0"/>
    <x v="1"/>
    <x v="0"/>
    <x v="0"/>
    <x v="3"/>
    <x v="4"/>
    <x v="1"/>
    <x v="0"/>
    <x v="0"/>
    <x v="0"/>
    <x v="0"/>
    <x v="34"/>
    <x v="0"/>
    <x v="1"/>
  </r>
  <r>
    <x v="265"/>
    <x v="1"/>
    <x v="0"/>
    <x v="1"/>
    <x v="1"/>
    <x v="4"/>
    <x v="1"/>
    <x v="1"/>
    <x v="0"/>
    <x v="2"/>
    <x v="0"/>
    <x v="0"/>
    <x v="0"/>
    <x v="0"/>
    <x v="0"/>
  </r>
  <r>
    <x v="266"/>
    <x v="1"/>
    <x v="0"/>
    <x v="6"/>
    <x v="1"/>
    <x v="2"/>
    <x v="2"/>
    <x v="3"/>
    <x v="0"/>
    <x v="2"/>
    <x v="0"/>
    <x v="0"/>
    <x v="40"/>
    <x v="2"/>
    <x v="0"/>
  </r>
  <r>
    <x v="267"/>
    <x v="1"/>
    <x v="1"/>
    <x v="11"/>
    <x v="2"/>
    <x v="2"/>
    <x v="0"/>
    <x v="2"/>
    <x v="0"/>
    <x v="1"/>
    <x v="2"/>
    <x v="1"/>
    <x v="15"/>
    <x v="0"/>
    <x v="1"/>
  </r>
  <r>
    <x v="268"/>
    <x v="0"/>
    <x v="1"/>
    <x v="3"/>
    <x v="0"/>
    <x v="2"/>
    <x v="1"/>
    <x v="0"/>
    <x v="0"/>
    <x v="4"/>
    <x v="2"/>
    <x v="1"/>
    <x v="12"/>
    <x v="0"/>
    <x v="0"/>
  </r>
  <r>
    <x v="269"/>
    <x v="1"/>
    <x v="0"/>
    <x v="14"/>
    <x v="0"/>
    <x v="3"/>
    <x v="4"/>
    <x v="0"/>
    <x v="1"/>
    <x v="0"/>
    <x v="0"/>
    <x v="0"/>
    <x v="34"/>
    <x v="0"/>
    <x v="1"/>
  </r>
  <r>
    <x v="270"/>
    <x v="1"/>
    <x v="0"/>
    <x v="4"/>
    <x v="1"/>
    <x v="4"/>
    <x v="1"/>
    <x v="3"/>
    <x v="0"/>
    <x v="0"/>
    <x v="0"/>
    <x v="0"/>
    <x v="36"/>
    <x v="0"/>
    <x v="1"/>
  </r>
  <r>
    <x v="271"/>
    <x v="1"/>
    <x v="0"/>
    <x v="6"/>
    <x v="1"/>
    <x v="3"/>
    <x v="2"/>
    <x v="3"/>
    <x v="1"/>
    <x v="1"/>
    <x v="3"/>
    <x v="0"/>
    <x v="26"/>
    <x v="2"/>
    <x v="0"/>
  </r>
  <r>
    <x v="272"/>
    <x v="0"/>
    <x v="1"/>
    <x v="4"/>
    <x v="1"/>
    <x v="5"/>
    <x v="3"/>
    <x v="3"/>
    <x v="0"/>
    <x v="1"/>
    <x v="0"/>
    <x v="0"/>
    <x v="8"/>
    <x v="0"/>
    <x v="1"/>
  </r>
  <r>
    <x v="273"/>
    <x v="1"/>
    <x v="0"/>
    <x v="6"/>
    <x v="1"/>
    <x v="3"/>
    <x v="2"/>
    <x v="3"/>
    <x v="1"/>
    <x v="1"/>
    <x v="1"/>
    <x v="0"/>
    <x v="25"/>
    <x v="2"/>
    <x v="0"/>
  </r>
  <r>
    <x v="274"/>
    <x v="0"/>
    <x v="0"/>
    <x v="1"/>
    <x v="1"/>
    <x v="3"/>
    <x v="0"/>
    <x v="1"/>
    <x v="1"/>
    <x v="0"/>
    <x v="0"/>
    <x v="0"/>
    <x v="4"/>
    <x v="0"/>
    <x v="1"/>
  </r>
  <r>
    <x v="275"/>
    <x v="0"/>
    <x v="0"/>
    <x v="8"/>
    <x v="2"/>
    <x v="0"/>
    <x v="4"/>
    <x v="4"/>
    <x v="0"/>
    <x v="0"/>
    <x v="0"/>
    <x v="1"/>
    <x v="34"/>
    <x v="0"/>
    <x v="1"/>
  </r>
  <r>
    <x v="276"/>
    <x v="0"/>
    <x v="0"/>
    <x v="4"/>
    <x v="1"/>
    <x v="4"/>
    <x v="1"/>
    <x v="3"/>
    <x v="0"/>
    <x v="0"/>
    <x v="3"/>
    <x v="0"/>
    <x v="38"/>
    <x v="0"/>
    <x v="0"/>
  </r>
  <r>
    <x v="277"/>
    <x v="0"/>
    <x v="0"/>
    <x v="4"/>
    <x v="1"/>
    <x v="4"/>
    <x v="2"/>
    <x v="3"/>
    <x v="0"/>
    <x v="0"/>
    <x v="0"/>
    <x v="0"/>
    <x v="34"/>
    <x v="0"/>
    <x v="1"/>
  </r>
  <r>
    <x v="278"/>
    <x v="0"/>
    <x v="1"/>
    <x v="11"/>
    <x v="2"/>
    <x v="3"/>
    <x v="2"/>
    <x v="4"/>
    <x v="0"/>
    <x v="4"/>
    <x v="4"/>
    <x v="1"/>
    <x v="11"/>
    <x v="0"/>
    <x v="1"/>
  </r>
  <r>
    <x v="279"/>
    <x v="1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1"/>
    <x v="3"/>
    <x v="3"/>
    <x v="0"/>
    <x v="2"/>
    <x v="0"/>
    <x v="0"/>
    <x v="1"/>
    <x v="0"/>
    <x v="0"/>
  </r>
  <r>
    <x v="281"/>
    <x v="1"/>
    <x v="1"/>
    <x v="6"/>
    <x v="1"/>
    <x v="0"/>
    <x v="1"/>
    <x v="3"/>
    <x v="1"/>
    <x v="0"/>
    <x v="0"/>
    <x v="0"/>
    <x v="34"/>
    <x v="0"/>
    <x v="0"/>
  </r>
  <r>
    <x v="282"/>
    <x v="1"/>
    <x v="1"/>
    <x v="4"/>
    <x v="1"/>
    <x v="3"/>
    <x v="3"/>
    <x v="3"/>
    <x v="1"/>
    <x v="2"/>
    <x v="0"/>
    <x v="0"/>
    <x v="17"/>
    <x v="0"/>
    <x v="0"/>
  </r>
  <r>
    <x v="283"/>
    <x v="0"/>
    <x v="0"/>
    <x v="3"/>
    <x v="0"/>
    <x v="2"/>
    <x v="1"/>
    <x v="0"/>
    <x v="1"/>
    <x v="4"/>
    <x v="2"/>
    <x v="1"/>
    <x v="30"/>
    <x v="0"/>
    <x v="0"/>
  </r>
  <r>
    <x v="284"/>
    <x v="1"/>
    <x v="1"/>
    <x v="4"/>
    <x v="1"/>
    <x v="0"/>
    <x v="1"/>
    <x v="3"/>
    <x v="0"/>
    <x v="0"/>
    <x v="0"/>
    <x v="0"/>
    <x v="38"/>
    <x v="0"/>
    <x v="0"/>
  </r>
  <r>
    <x v="285"/>
    <x v="0"/>
    <x v="0"/>
    <x v="10"/>
    <x v="0"/>
    <x v="0"/>
    <x v="1"/>
    <x v="0"/>
    <x v="0"/>
    <x v="1"/>
    <x v="2"/>
    <x v="1"/>
    <x v="12"/>
    <x v="0"/>
    <x v="0"/>
  </r>
  <r>
    <x v="286"/>
    <x v="1"/>
    <x v="0"/>
    <x v="11"/>
    <x v="2"/>
    <x v="0"/>
    <x v="0"/>
    <x v="4"/>
    <x v="0"/>
    <x v="3"/>
    <x v="1"/>
    <x v="1"/>
    <x v="28"/>
    <x v="0"/>
    <x v="0"/>
  </r>
  <r>
    <x v="287"/>
    <x v="1"/>
    <x v="0"/>
    <x v="1"/>
    <x v="1"/>
    <x v="1"/>
    <x v="4"/>
    <x v="1"/>
    <x v="1"/>
    <x v="0"/>
    <x v="0"/>
    <x v="0"/>
    <x v="30"/>
    <x v="0"/>
    <x v="1"/>
  </r>
  <r>
    <x v="288"/>
    <x v="0"/>
    <x v="1"/>
    <x v="12"/>
    <x v="2"/>
    <x v="3"/>
    <x v="4"/>
    <x v="4"/>
    <x v="0"/>
    <x v="0"/>
    <x v="2"/>
    <x v="1"/>
    <x v="28"/>
    <x v="0"/>
    <x v="0"/>
  </r>
  <r>
    <x v="289"/>
    <x v="0"/>
    <x v="1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0"/>
    <x v="1"/>
    <x v="0"/>
    <x v="1"/>
    <x v="1"/>
    <x v="0"/>
    <x v="1"/>
    <x v="30"/>
    <x v="0"/>
    <x v="1"/>
  </r>
  <r>
    <x v="291"/>
    <x v="0"/>
    <x v="1"/>
    <x v="0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1"/>
    <x v="0"/>
    <x v="2"/>
    <x v="3"/>
    <x v="1"/>
    <x v="1"/>
    <x v="1"/>
    <x v="0"/>
    <x v="30"/>
    <x v="0"/>
    <x v="1"/>
  </r>
  <r>
    <x v="294"/>
    <x v="1"/>
    <x v="1"/>
    <x v="6"/>
    <x v="1"/>
    <x v="3"/>
    <x v="1"/>
    <x v="3"/>
    <x v="1"/>
    <x v="1"/>
    <x v="1"/>
    <x v="0"/>
    <x v="4"/>
    <x v="0"/>
    <x v="1"/>
  </r>
  <r>
    <x v="295"/>
    <x v="1"/>
    <x v="0"/>
    <x v="15"/>
    <x v="2"/>
    <x v="3"/>
    <x v="1"/>
    <x v="4"/>
    <x v="0"/>
    <x v="4"/>
    <x v="4"/>
    <x v="1"/>
    <x v="21"/>
    <x v="0"/>
    <x v="1"/>
  </r>
  <r>
    <x v="296"/>
    <x v="1"/>
    <x v="0"/>
    <x v="10"/>
    <x v="0"/>
    <x v="4"/>
    <x v="0"/>
    <x v="2"/>
    <x v="1"/>
    <x v="1"/>
    <x v="0"/>
    <x v="1"/>
    <x v="32"/>
    <x v="0"/>
    <x v="1"/>
  </r>
  <r>
    <x v="297"/>
    <x v="0"/>
    <x v="1"/>
    <x v="11"/>
    <x v="2"/>
    <x v="0"/>
    <x v="4"/>
    <x v="4"/>
    <x v="0"/>
    <x v="0"/>
    <x v="1"/>
    <x v="1"/>
    <x v="4"/>
    <x v="0"/>
    <x v="1"/>
  </r>
  <r>
    <x v="298"/>
    <x v="0"/>
    <x v="0"/>
    <x v="8"/>
    <x v="2"/>
    <x v="5"/>
    <x v="2"/>
    <x v="2"/>
    <x v="1"/>
    <x v="2"/>
    <x v="1"/>
    <x v="0"/>
    <x v="9"/>
    <x v="0"/>
    <x v="1"/>
  </r>
  <r>
    <x v="299"/>
    <x v="0"/>
    <x v="0"/>
    <x v="1"/>
    <x v="1"/>
    <x v="4"/>
    <x v="1"/>
    <x v="1"/>
    <x v="1"/>
    <x v="2"/>
    <x v="2"/>
    <x v="1"/>
    <x v="45"/>
    <x v="1"/>
    <x v="0"/>
  </r>
  <r>
    <x v="300"/>
    <x v="1"/>
    <x v="0"/>
    <x v="4"/>
    <x v="1"/>
    <x v="2"/>
    <x v="2"/>
    <x v="0"/>
    <x v="1"/>
    <x v="2"/>
    <x v="3"/>
    <x v="1"/>
    <x v="24"/>
    <x v="1"/>
    <x v="0"/>
  </r>
  <r>
    <x v="301"/>
    <x v="1"/>
    <x v="0"/>
    <x v="0"/>
    <x v="0"/>
    <x v="3"/>
    <x v="0"/>
    <x v="1"/>
    <x v="1"/>
    <x v="0"/>
    <x v="0"/>
    <x v="1"/>
    <x v="26"/>
    <x v="2"/>
    <x v="1"/>
  </r>
  <r>
    <x v="302"/>
    <x v="1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1"/>
    <x v="0"/>
    <x v="0"/>
    <x v="0"/>
    <x v="0"/>
    <x v="2"/>
    <x v="0"/>
    <x v="0"/>
    <x v="8"/>
    <x v="0"/>
    <x v="0"/>
  </r>
  <r>
    <x v="304"/>
    <x v="0"/>
    <x v="1"/>
    <x v="2"/>
    <x v="0"/>
    <x v="5"/>
    <x v="4"/>
    <x v="4"/>
    <x v="0"/>
    <x v="1"/>
    <x v="0"/>
    <x v="1"/>
    <x v="4"/>
    <x v="0"/>
    <x v="1"/>
  </r>
  <r>
    <x v="305"/>
    <x v="1"/>
    <x v="1"/>
    <x v="4"/>
    <x v="1"/>
    <x v="4"/>
    <x v="3"/>
    <x v="1"/>
    <x v="0"/>
    <x v="2"/>
    <x v="2"/>
    <x v="1"/>
    <x v="7"/>
    <x v="0"/>
    <x v="0"/>
  </r>
  <r>
    <x v="306"/>
    <x v="0"/>
    <x v="1"/>
    <x v="8"/>
    <x v="2"/>
    <x v="4"/>
    <x v="0"/>
    <x v="2"/>
    <x v="0"/>
    <x v="0"/>
    <x v="3"/>
    <x v="1"/>
    <x v="8"/>
    <x v="0"/>
    <x v="1"/>
  </r>
  <r>
    <x v="307"/>
    <x v="0"/>
    <x v="1"/>
    <x v="4"/>
    <x v="1"/>
    <x v="4"/>
    <x v="0"/>
    <x v="1"/>
    <x v="0"/>
    <x v="1"/>
    <x v="0"/>
    <x v="0"/>
    <x v="29"/>
    <x v="1"/>
    <x v="0"/>
  </r>
  <r>
    <x v="308"/>
    <x v="0"/>
    <x v="1"/>
    <x v="0"/>
    <x v="0"/>
    <x v="4"/>
    <x v="1"/>
    <x v="1"/>
    <x v="0"/>
    <x v="1"/>
    <x v="3"/>
    <x v="0"/>
    <x v="11"/>
    <x v="0"/>
    <x v="1"/>
  </r>
  <r>
    <x v="309"/>
    <x v="0"/>
    <x v="0"/>
    <x v="6"/>
    <x v="1"/>
    <x v="4"/>
    <x v="1"/>
    <x v="3"/>
    <x v="0"/>
    <x v="1"/>
    <x v="1"/>
    <x v="0"/>
    <x v="15"/>
    <x v="0"/>
    <x v="1"/>
  </r>
  <r>
    <x v="310"/>
    <x v="0"/>
    <x v="1"/>
    <x v="7"/>
    <x v="2"/>
    <x v="5"/>
    <x v="0"/>
    <x v="4"/>
    <x v="0"/>
    <x v="1"/>
    <x v="1"/>
    <x v="1"/>
    <x v="15"/>
    <x v="0"/>
    <x v="0"/>
  </r>
  <r>
    <x v="311"/>
    <x v="0"/>
    <x v="1"/>
    <x v="10"/>
    <x v="0"/>
    <x v="0"/>
    <x v="1"/>
    <x v="0"/>
    <x v="0"/>
    <x v="1"/>
    <x v="2"/>
    <x v="1"/>
    <x v="30"/>
    <x v="0"/>
    <x v="0"/>
  </r>
  <r>
    <x v="312"/>
    <x v="0"/>
    <x v="1"/>
    <x v="6"/>
    <x v="1"/>
    <x v="5"/>
    <x v="2"/>
    <x v="0"/>
    <x v="0"/>
    <x v="2"/>
    <x v="2"/>
    <x v="1"/>
    <x v="7"/>
    <x v="0"/>
    <x v="1"/>
  </r>
  <r>
    <x v="313"/>
    <x v="1"/>
    <x v="1"/>
    <x v="0"/>
    <x v="0"/>
    <x v="1"/>
    <x v="3"/>
    <x v="1"/>
    <x v="1"/>
    <x v="2"/>
    <x v="2"/>
    <x v="1"/>
    <x v="31"/>
    <x v="0"/>
    <x v="1"/>
  </r>
  <r>
    <x v="314"/>
    <x v="0"/>
    <x v="1"/>
    <x v="2"/>
    <x v="0"/>
    <x v="2"/>
    <x v="0"/>
    <x v="2"/>
    <x v="1"/>
    <x v="1"/>
    <x v="0"/>
    <x v="1"/>
    <x v="15"/>
    <x v="0"/>
    <x v="1"/>
  </r>
  <r>
    <x v="315"/>
    <x v="1"/>
    <x v="1"/>
    <x v="3"/>
    <x v="0"/>
    <x v="3"/>
    <x v="0"/>
    <x v="2"/>
    <x v="1"/>
    <x v="1"/>
    <x v="2"/>
    <x v="1"/>
    <x v="3"/>
    <x v="0"/>
    <x v="0"/>
  </r>
  <r>
    <x v="316"/>
    <x v="0"/>
    <x v="1"/>
    <x v="14"/>
    <x v="0"/>
    <x v="4"/>
    <x v="4"/>
    <x v="4"/>
    <x v="0"/>
    <x v="1"/>
    <x v="2"/>
    <x v="1"/>
    <x v="46"/>
    <x v="1"/>
    <x v="1"/>
  </r>
  <r>
    <x v="317"/>
    <x v="0"/>
    <x v="1"/>
    <x v="1"/>
    <x v="1"/>
    <x v="3"/>
    <x v="0"/>
    <x v="1"/>
    <x v="0"/>
    <x v="0"/>
    <x v="0"/>
    <x v="0"/>
    <x v="11"/>
    <x v="0"/>
    <x v="1"/>
  </r>
  <r>
    <x v="318"/>
    <x v="0"/>
    <x v="1"/>
    <x v="12"/>
    <x v="2"/>
    <x v="5"/>
    <x v="1"/>
    <x v="2"/>
    <x v="1"/>
    <x v="4"/>
    <x v="4"/>
    <x v="0"/>
    <x v="9"/>
    <x v="0"/>
    <x v="0"/>
  </r>
  <r>
    <x v="319"/>
    <x v="0"/>
    <x v="0"/>
    <x v="1"/>
    <x v="1"/>
    <x v="1"/>
    <x v="0"/>
    <x v="1"/>
    <x v="0"/>
    <x v="0"/>
    <x v="0"/>
    <x v="0"/>
    <x v="12"/>
    <x v="0"/>
    <x v="0"/>
  </r>
  <r>
    <x v="320"/>
    <x v="0"/>
    <x v="1"/>
    <x v="11"/>
    <x v="2"/>
    <x v="3"/>
    <x v="4"/>
    <x v="4"/>
    <x v="0"/>
    <x v="0"/>
    <x v="1"/>
    <x v="1"/>
    <x v="8"/>
    <x v="0"/>
    <x v="1"/>
  </r>
  <r>
    <x v="321"/>
    <x v="1"/>
    <x v="0"/>
    <x v="5"/>
    <x v="2"/>
    <x v="3"/>
    <x v="4"/>
    <x v="4"/>
    <x v="1"/>
    <x v="4"/>
    <x v="0"/>
    <x v="1"/>
    <x v="15"/>
    <x v="0"/>
    <x v="1"/>
  </r>
  <r>
    <x v="322"/>
    <x v="1"/>
    <x v="0"/>
    <x v="4"/>
    <x v="1"/>
    <x v="5"/>
    <x v="3"/>
    <x v="3"/>
    <x v="0"/>
    <x v="2"/>
    <x v="0"/>
    <x v="0"/>
    <x v="3"/>
    <x v="0"/>
    <x v="1"/>
  </r>
  <r>
    <x v="323"/>
    <x v="1"/>
    <x v="0"/>
    <x v="0"/>
    <x v="0"/>
    <x v="3"/>
    <x v="4"/>
    <x v="1"/>
    <x v="1"/>
    <x v="0"/>
    <x v="0"/>
    <x v="0"/>
    <x v="34"/>
    <x v="0"/>
    <x v="1"/>
  </r>
  <r>
    <x v="324"/>
    <x v="0"/>
    <x v="1"/>
    <x v="8"/>
    <x v="2"/>
    <x v="5"/>
    <x v="0"/>
    <x v="2"/>
    <x v="0"/>
    <x v="0"/>
    <x v="3"/>
    <x v="1"/>
    <x v="13"/>
    <x v="0"/>
    <x v="1"/>
  </r>
  <r>
    <x v="325"/>
    <x v="1"/>
    <x v="1"/>
    <x v="0"/>
    <x v="0"/>
    <x v="4"/>
    <x v="1"/>
    <x v="1"/>
    <x v="1"/>
    <x v="2"/>
    <x v="0"/>
    <x v="0"/>
    <x v="4"/>
    <x v="0"/>
    <x v="1"/>
  </r>
  <r>
    <x v="326"/>
    <x v="0"/>
    <x v="0"/>
    <x v="6"/>
    <x v="1"/>
    <x v="3"/>
    <x v="0"/>
    <x v="1"/>
    <x v="1"/>
    <x v="0"/>
    <x v="0"/>
    <x v="1"/>
    <x v="22"/>
    <x v="2"/>
    <x v="1"/>
  </r>
  <r>
    <x v="327"/>
    <x v="0"/>
    <x v="1"/>
    <x v="1"/>
    <x v="1"/>
    <x v="0"/>
    <x v="0"/>
    <x v="0"/>
    <x v="0"/>
    <x v="2"/>
    <x v="0"/>
    <x v="0"/>
    <x v="8"/>
    <x v="0"/>
    <x v="0"/>
  </r>
  <r>
    <x v="328"/>
    <x v="1"/>
    <x v="1"/>
    <x v="0"/>
    <x v="0"/>
    <x v="4"/>
    <x v="1"/>
    <x v="1"/>
    <x v="0"/>
    <x v="2"/>
    <x v="3"/>
    <x v="0"/>
    <x v="4"/>
    <x v="0"/>
    <x v="0"/>
  </r>
  <r>
    <x v="329"/>
    <x v="0"/>
    <x v="0"/>
    <x v="8"/>
    <x v="2"/>
    <x v="2"/>
    <x v="3"/>
    <x v="0"/>
    <x v="0"/>
    <x v="2"/>
    <x v="4"/>
    <x v="0"/>
    <x v="14"/>
    <x v="0"/>
    <x v="0"/>
  </r>
  <r>
    <x v="330"/>
    <x v="1"/>
    <x v="0"/>
    <x v="2"/>
    <x v="0"/>
    <x v="3"/>
    <x v="0"/>
    <x v="2"/>
    <x v="0"/>
    <x v="4"/>
    <x v="4"/>
    <x v="1"/>
    <x v="21"/>
    <x v="0"/>
    <x v="0"/>
  </r>
  <r>
    <x v="331"/>
    <x v="0"/>
    <x v="1"/>
    <x v="4"/>
    <x v="1"/>
    <x v="3"/>
    <x v="3"/>
    <x v="3"/>
    <x v="1"/>
    <x v="2"/>
    <x v="0"/>
    <x v="0"/>
    <x v="25"/>
    <x v="2"/>
    <x v="0"/>
  </r>
  <r>
    <x v="332"/>
    <x v="1"/>
    <x v="0"/>
    <x v="6"/>
    <x v="1"/>
    <x v="3"/>
    <x v="3"/>
    <x v="3"/>
    <x v="1"/>
    <x v="2"/>
    <x v="3"/>
    <x v="0"/>
    <x v="11"/>
    <x v="0"/>
    <x v="1"/>
  </r>
  <r>
    <x v="333"/>
    <x v="0"/>
    <x v="1"/>
    <x v="12"/>
    <x v="2"/>
    <x v="1"/>
    <x v="2"/>
    <x v="2"/>
    <x v="0"/>
    <x v="3"/>
    <x v="2"/>
    <x v="0"/>
    <x v="36"/>
    <x v="0"/>
    <x v="1"/>
  </r>
  <r>
    <x v="334"/>
    <x v="0"/>
    <x v="1"/>
    <x v="8"/>
    <x v="2"/>
    <x v="4"/>
    <x v="0"/>
    <x v="2"/>
    <x v="0"/>
    <x v="1"/>
    <x v="2"/>
    <x v="1"/>
    <x v="15"/>
    <x v="0"/>
    <x v="0"/>
  </r>
  <r>
    <x v="335"/>
    <x v="0"/>
    <x v="1"/>
    <x v="2"/>
    <x v="0"/>
    <x v="2"/>
    <x v="4"/>
    <x v="4"/>
    <x v="1"/>
    <x v="2"/>
    <x v="0"/>
    <x v="1"/>
    <x v="32"/>
    <x v="0"/>
    <x v="0"/>
  </r>
  <r>
    <x v="336"/>
    <x v="1"/>
    <x v="1"/>
    <x v="6"/>
    <x v="1"/>
    <x v="3"/>
    <x v="3"/>
    <x v="3"/>
    <x v="1"/>
    <x v="2"/>
    <x v="0"/>
    <x v="0"/>
    <x v="17"/>
    <x v="0"/>
    <x v="0"/>
  </r>
  <r>
    <x v="337"/>
    <x v="0"/>
    <x v="1"/>
    <x v="4"/>
    <x v="1"/>
    <x v="3"/>
    <x v="3"/>
    <x v="3"/>
    <x v="0"/>
    <x v="2"/>
    <x v="0"/>
    <x v="0"/>
    <x v="21"/>
    <x v="0"/>
    <x v="0"/>
  </r>
  <r>
    <x v="338"/>
    <x v="1"/>
    <x v="0"/>
    <x v="7"/>
    <x v="2"/>
    <x v="1"/>
    <x v="2"/>
    <x v="2"/>
    <x v="0"/>
    <x v="3"/>
    <x v="2"/>
    <x v="0"/>
    <x v="5"/>
    <x v="0"/>
    <x v="1"/>
  </r>
  <r>
    <x v="339"/>
    <x v="0"/>
    <x v="1"/>
    <x v="6"/>
    <x v="1"/>
    <x v="0"/>
    <x v="0"/>
    <x v="1"/>
    <x v="0"/>
    <x v="0"/>
    <x v="0"/>
    <x v="0"/>
    <x v="29"/>
    <x v="1"/>
    <x v="0"/>
  </r>
  <r>
    <x v="340"/>
    <x v="1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1"/>
    <x v="3"/>
    <x v="2"/>
    <x v="3"/>
    <x v="1"/>
    <x v="1"/>
    <x v="1"/>
    <x v="0"/>
    <x v="21"/>
    <x v="0"/>
    <x v="1"/>
  </r>
  <r>
    <x v="342"/>
    <x v="1"/>
    <x v="1"/>
    <x v="4"/>
    <x v="1"/>
    <x v="3"/>
    <x v="3"/>
    <x v="3"/>
    <x v="0"/>
    <x v="2"/>
    <x v="3"/>
    <x v="0"/>
    <x v="11"/>
    <x v="0"/>
    <x v="0"/>
  </r>
  <r>
    <x v="343"/>
    <x v="1"/>
    <x v="0"/>
    <x v="1"/>
    <x v="1"/>
    <x v="3"/>
    <x v="2"/>
    <x v="3"/>
    <x v="1"/>
    <x v="1"/>
    <x v="1"/>
    <x v="0"/>
    <x v="21"/>
    <x v="0"/>
    <x v="0"/>
  </r>
  <r>
    <x v="344"/>
    <x v="1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1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0"/>
    <x v="1"/>
    <x v="0"/>
    <x v="0"/>
    <x v="0"/>
    <x v="1"/>
    <x v="0"/>
    <x v="1"/>
  </r>
  <r>
    <x v="347"/>
    <x v="1"/>
    <x v="0"/>
    <x v="10"/>
    <x v="0"/>
    <x v="0"/>
    <x v="1"/>
    <x v="0"/>
    <x v="1"/>
    <x v="1"/>
    <x v="0"/>
    <x v="1"/>
    <x v="12"/>
    <x v="0"/>
    <x v="1"/>
  </r>
  <r>
    <x v="348"/>
    <x v="0"/>
    <x v="1"/>
    <x v="6"/>
    <x v="1"/>
    <x v="4"/>
    <x v="2"/>
    <x v="3"/>
    <x v="0"/>
    <x v="2"/>
    <x v="0"/>
    <x v="0"/>
    <x v="0"/>
    <x v="0"/>
    <x v="0"/>
  </r>
  <r>
    <x v="349"/>
    <x v="1"/>
    <x v="0"/>
    <x v="1"/>
    <x v="1"/>
    <x v="3"/>
    <x v="1"/>
    <x v="1"/>
    <x v="1"/>
    <x v="1"/>
    <x v="0"/>
    <x v="0"/>
    <x v="19"/>
    <x v="2"/>
    <x v="1"/>
  </r>
  <r>
    <x v="350"/>
    <x v="1"/>
    <x v="1"/>
    <x v="6"/>
    <x v="1"/>
    <x v="3"/>
    <x v="1"/>
    <x v="3"/>
    <x v="1"/>
    <x v="0"/>
    <x v="0"/>
    <x v="1"/>
    <x v="26"/>
    <x v="2"/>
    <x v="1"/>
  </r>
  <r>
    <x v="351"/>
    <x v="1"/>
    <x v="1"/>
    <x v="4"/>
    <x v="1"/>
    <x v="1"/>
    <x v="2"/>
    <x v="3"/>
    <x v="0"/>
    <x v="0"/>
    <x v="0"/>
    <x v="0"/>
    <x v="34"/>
    <x v="0"/>
    <x v="1"/>
  </r>
  <r>
    <x v="352"/>
    <x v="0"/>
    <x v="0"/>
    <x v="2"/>
    <x v="0"/>
    <x v="5"/>
    <x v="1"/>
    <x v="2"/>
    <x v="0"/>
    <x v="2"/>
    <x v="1"/>
    <x v="0"/>
    <x v="39"/>
    <x v="0"/>
    <x v="0"/>
  </r>
  <r>
    <x v="353"/>
    <x v="1"/>
    <x v="1"/>
    <x v="0"/>
    <x v="0"/>
    <x v="3"/>
    <x v="4"/>
    <x v="1"/>
    <x v="1"/>
    <x v="0"/>
    <x v="0"/>
    <x v="0"/>
    <x v="13"/>
    <x v="0"/>
    <x v="1"/>
  </r>
  <r>
    <x v="354"/>
    <x v="1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0"/>
    <x v="3"/>
    <x v="0"/>
    <x v="2"/>
    <x v="0"/>
    <x v="4"/>
    <x v="4"/>
    <x v="1"/>
    <x v="21"/>
    <x v="0"/>
    <x v="0"/>
  </r>
  <r>
    <x v="356"/>
    <x v="0"/>
    <x v="0"/>
    <x v="13"/>
    <x v="2"/>
    <x v="1"/>
    <x v="2"/>
    <x v="2"/>
    <x v="0"/>
    <x v="4"/>
    <x v="0"/>
    <x v="0"/>
    <x v="36"/>
    <x v="0"/>
    <x v="1"/>
  </r>
  <r>
    <x v="357"/>
    <x v="1"/>
    <x v="0"/>
    <x v="4"/>
    <x v="1"/>
    <x v="3"/>
    <x v="3"/>
    <x v="3"/>
    <x v="0"/>
    <x v="2"/>
    <x v="3"/>
    <x v="0"/>
    <x v="6"/>
    <x v="0"/>
    <x v="0"/>
  </r>
  <r>
    <x v="358"/>
    <x v="0"/>
    <x v="1"/>
    <x v="8"/>
    <x v="2"/>
    <x v="5"/>
    <x v="2"/>
    <x v="4"/>
    <x v="0"/>
    <x v="4"/>
    <x v="2"/>
    <x v="0"/>
    <x v="7"/>
    <x v="0"/>
    <x v="1"/>
  </r>
  <r>
    <x v="359"/>
    <x v="0"/>
    <x v="1"/>
    <x v="2"/>
    <x v="0"/>
    <x v="3"/>
    <x v="0"/>
    <x v="2"/>
    <x v="0"/>
    <x v="4"/>
    <x v="4"/>
    <x v="1"/>
    <x v="25"/>
    <x v="2"/>
    <x v="0"/>
  </r>
  <r>
    <x v="360"/>
    <x v="1"/>
    <x v="1"/>
    <x v="12"/>
    <x v="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0"/>
    <x v="1"/>
    <x v="0"/>
    <x v="0"/>
    <x v="6"/>
    <x v="0"/>
    <x v="1"/>
  </r>
  <r>
    <x v="363"/>
    <x v="0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1"/>
    <x v="4"/>
    <x v="2"/>
    <x v="3"/>
    <x v="0"/>
    <x v="1"/>
    <x v="0"/>
    <x v="0"/>
    <x v="13"/>
    <x v="0"/>
    <x v="1"/>
  </r>
  <r>
    <x v="365"/>
    <x v="1"/>
    <x v="0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0"/>
    <x v="1"/>
    <x v="0"/>
    <x v="0"/>
    <x v="1"/>
    <x v="0"/>
    <x v="1"/>
    <x v="12"/>
    <x v="0"/>
    <x v="1"/>
  </r>
  <r>
    <x v="367"/>
    <x v="0"/>
    <x v="0"/>
    <x v="12"/>
    <x v="2"/>
    <x v="1"/>
    <x v="1"/>
    <x v="2"/>
    <x v="0"/>
    <x v="4"/>
    <x v="2"/>
    <x v="0"/>
    <x v="5"/>
    <x v="0"/>
    <x v="1"/>
  </r>
  <r>
    <x v="368"/>
    <x v="1"/>
    <x v="0"/>
    <x v="1"/>
    <x v="1"/>
    <x v="4"/>
    <x v="1"/>
    <x v="1"/>
    <x v="1"/>
    <x v="2"/>
    <x v="2"/>
    <x v="1"/>
    <x v="2"/>
    <x v="1"/>
    <x v="1"/>
  </r>
  <r>
    <x v="369"/>
    <x v="1"/>
    <x v="0"/>
    <x v="6"/>
    <x v="1"/>
    <x v="4"/>
    <x v="1"/>
    <x v="3"/>
    <x v="1"/>
    <x v="1"/>
    <x v="0"/>
    <x v="0"/>
    <x v="39"/>
    <x v="0"/>
    <x v="1"/>
  </r>
  <r>
    <x v="370"/>
    <x v="0"/>
    <x v="0"/>
    <x v="11"/>
    <x v="2"/>
    <x v="5"/>
    <x v="0"/>
    <x v="2"/>
    <x v="0"/>
    <x v="1"/>
    <x v="4"/>
    <x v="1"/>
    <x v="30"/>
    <x v="0"/>
    <x v="0"/>
  </r>
  <r>
    <x v="371"/>
    <x v="1"/>
    <x v="1"/>
    <x v="2"/>
    <x v="0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0"/>
    <x v="1"/>
    <x v="0"/>
    <x v="0"/>
    <x v="1"/>
    <x v="0"/>
    <x v="1"/>
  </r>
  <r>
    <x v="373"/>
    <x v="1"/>
    <x v="1"/>
    <x v="6"/>
    <x v="1"/>
    <x v="3"/>
    <x v="2"/>
    <x v="3"/>
    <x v="1"/>
    <x v="1"/>
    <x v="1"/>
    <x v="0"/>
    <x v="25"/>
    <x v="2"/>
    <x v="0"/>
  </r>
  <r>
    <x v="374"/>
    <x v="1"/>
    <x v="0"/>
    <x v="2"/>
    <x v="0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1"/>
    <x v="0"/>
    <x v="0"/>
    <x v="1"/>
    <x v="0"/>
    <x v="0"/>
    <x v="0"/>
    <x v="0"/>
    <x v="46"/>
    <x v="1"/>
    <x v="1"/>
  </r>
  <r>
    <x v="377"/>
    <x v="0"/>
    <x v="1"/>
    <x v="12"/>
    <x v="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1"/>
    <x v="2"/>
    <x v="2"/>
    <x v="1"/>
    <x v="16"/>
    <x v="0"/>
    <x v="0"/>
  </r>
  <r>
    <x v="379"/>
    <x v="0"/>
    <x v="1"/>
    <x v="10"/>
    <x v="0"/>
    <x v="1"/>
    <x v="0"/>
    <x v="2"/>
    <x v="0"/>
    <x v="2"/>
    <x v="2"/>
    <x v="1"/>
    <x v="1"/>
    <x v="0"/>
    <x v="0"/>
  </r>
  <r>
    <x v="380"/>
    <x v="1"/>
    <x v="1"/>
    <x v="3"/>
    <x v="0"/>
    <x v="3"/>
    <x v="0"/>
    <x v="2"/>
    <x v="1"/>
    <x v="4"/>
    <x v="4"/>
    <x v="1"/>
    <x v="25"/>
    <x v="2"/>
    <x v="1"/>
  </r>
  <r>
    <x v="381"/>
    <x v="0"/>
    <x v="0"/>
    <x v="1"/>
    <x v="1"/>
    <x v="4"/>
    <x v="1"/>
    <x v="1"/>
    <x v="0"/>
    <x v="2"/>
    <x v="2"/>
    <x v="1"/>
    <x v="45"/>
    <x v="1"/>
    <x v="0"/>
  </r>
  <r>
    <x v="382"/>
    <x v="0"/>
    <x v="1"/>
    <x v="2"/>
    <x v="0"/>
    <x v="5"/>
    <x v="1"/>
    <x v="2"/>
    <x v="0"/>
    <x v="2"/>
    <x v="4"/>
    <x v="0"/>
    <x v="39"/>
    <x v="0"/>
    <x v="0"/>
  </r>
  <r>
    <x v="383"/>
    <x v="0"/>
    <x v="1"/>
    <x v="0"/>
    <x v="0"/>
    <x v="3"/>
    <x v="4"/>
    <x v="1"/>
    <x v="0"/>
    <x v="0"/>
    <x v="0"/>
    <x v="0"/>
    <x v="34"/>
    <x v="0"/>
    <x v="1"/>
  </r>
  <r>
    <x v="384"/>
    <x v="1"/>
    <x v="0"/>
    <x v="4"/>
    <x v="1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2"/>
    <x v="3"/>
    <x v="3"/>
    <x v="2"/>
    <x v="0"/>
    <x v="3"/>
    <x v="4"/>
    <x v="1"/>
    <x v="17"/>
    <x v="0"/>
    <x v="1"/>
  </r>
  <r>
    <x v="387"/>
    <x v="1"/>
    <x v="0"/>
    <x v="6"/>
    <x v="1"/>
    <x v="3"/>
    <x v="3"/>
    <x v="3"/>
    <x v="1"/>
    <x v="2"/>
    <x v="3"/>
    <x v="0"/>
    <x v="17"/>
    <x v="0"/>
    <x v="1"/>
  </r>
  <r>
    <x v="388"/>
    <x v="0"/>
    <x v="0"/>
    <x v="1"/>
    <x v="1"/>
    <x v="0"/>
    <x v="0"/>
    <x v="1"/>
    <x v="0"/>
    <x v="0"/>
    <x v="0"/>
    <x v="0"/>
    <x v="46"/>
    <x v="1"/>
    <x v="0"/>
  </r>
  <r>
    <x v="389"/>
    <x v="0"/>
    <x v="0"/>
    <x v="2"/>
    <x v="0"/>
    <x v="3"/>
    <x v="0"/>
    <x v="2"/>
    <x v="0"/>
    <x v="1"/>
    <x v="3"/>
    <x v="1"/>
    <x v="3"/>
    <x v="0"/>
    <x v="1"/>
  </r>
  <r>
    <x v="390"/>
    <x v="1"/>
    <x v="1"/>
    <x v="3"/>
    <x v="0"/>
    <x v="3"/>
    <x v="0"/>
    <x v="2"/>
    <x v="1"/>
    <x v="1"/>
    <x v="2"/>
    <x v="1"/>
    <x v="13"/>
    <x v="0"/>
    <x v="0"/>
  </r>
  <r>
    <x v="391"/>
    <x v="1"/>
    <x v="0"/>
    <x v="3"/>
    <x v="0"/>
    <x v="3"/>
    <x v="0"/>
    <x v="2"/>
    <x v="1"/>
    <x v="1"/>
    <x v="0"/>
    <x v="1"/>
    <x v="3"/>
    <x v="0"/>
    <x v="1"/>
  </r>
  <r>
    <x v="392"/>
    <x v="1"/>
    <x v="1"/>
    <x v="6"/>
    <x v="1"/>
    <x v="0"/>
    <x v="0"/>
    <x v="1"/>
    <x v="1"/>
    <x v="0"/>
    <x v="0"/>
    <x v="0"/>
    <x v="36"/>
    <x v="0"/>
    <x v="0"/>
  </r>
  <r>
    <x v="393"/>
    <x v="0"/>
    <x v="0"/>
    <x v="4"/>
    <x v="1"/>
    <x v="3"/>
    <x v="3"/>
    <x v="3"/>
    <x v="0"/>
    <x v="2"/>
    <x v="3"/>
    <x v="0"/>
    <x v="21"/>
    <x v="0"/>
    <x v="0"/>
  </r>
  <r>
    <x v="394"/>
    <x v="0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1"/>
    <x v="0"/>
    <x v="0"/>
    <x v="1"/>
    <x v="0"/>
    <x v="0"/>
    <x v="0"/>
    <x v="0"/>
    <x v="13"/>
    <x v="0"/>
    <x v="1"/>
  </r>
  <r>
    <x v="396"/>
    <x v="1"/>
    <x v="1"/>
    <x v="10"/>
    <x v="0"/>
    <x v="4"/>
    <x v="0"/>
    <x v="2"/>
    <x v="0"/>
    <x v="1"/>
    <x v="1"/>
    <x v="1"/>
    <x v="13"/>
    <x v="0"/>
    <x v="1"/>
  </r>
  <r>
    <x v="397"/>
    <x v="0"/>
    <x v="0"/>
    <x v="4"/>
    <x v="1"/>
    <x v="4"/>
    <x v="3"/>
    <x v="1"/>
    <x v="0"/>
    <x v="2"/>
    <x v="2"/>
    <x v="1"/>
    <x v="7"/>
    <x v="0"/>
    <x v="0"/>
  </r>
  <r>
    <x v="398"/>
    <x v="1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0"/>
    <x v="4"/>
    <x v="0"/>
    <x v="4"/>
    <x v="1"/>
    <x v="1"/>
    <x v="2"/>
    <x v="1"/>
    <x v="39"/>
    <x v="0"/>
    <x v="1"/>
  </r>
  <r>
    <x v="400"/>
    <x v="1"/>
    <x v="0"/>
    <x v="15"/>
    <x v="2"/>
    <x v="1"/>
    <x v="0"/>
    <x v="4"/>
    <x v="0"/>
    <x v="3"/>
    <x v="4"/>
    <x v="0"/>
    <x v="39"/>
    <x v="0"/>
    <x v="0"/>
  </r>
  <r>
    <x v="401"/>
    <x v="0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1"/>
    <x v="0"/>
    <x v="4"/>
    <x v="3"/>
    <x v="0"/>
    <x v="0"/>
    <x v="0"/>
    <x v="0"/>
    <x v="20"/>
    <x v="0"/>
    <x v="0"/>
  </r>
  <r>
    <x v="403"/>
    <x v="0"/>
    <x v="1"/>
    <x v="6"/>
    <x v="1"/>
    <x v="0"/>
    <x v="4"/>
    <x v="1"/>
    <x v="0"/>
    <x v="0"/>
    <x v="0"/>
    <x v="0"/>
    <x v="20"/>
    <x v="0"/>
    <x v="0"/>
  </r>
  <r>
    <x v="404"/>
    <x v="0"/>
    <x v="1"/>
    <x v="1"/>
    <x v="1"/>
    <x v="1"/>
    <x v="2"/>
    <x v="0"/>
    <x v="0"/>
    <x v="2"/>
    <x v="2"/>
    <x v="1"/>
    <x v="9"/>
    <x v="0"/>
    <x v="1"/>
  </r>
  <r>
    <x v="405"/>
    <x v="0"/>
    <x v="0"/>
    <x v="1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2"/>
    <x v="4"/>
    <x v="0"/>
    <x v="2"/>
    <x v="1"/>
    <x v="0"/>
    <x v="0"/>
    <x v="1"/>
    <x v="4"/>
    <x v="0"/>
    <x v="1"/>
  </r>
  <r>
    <x v="408"/>
    <x v="1"/>
    <x v="0"/>
    <x v="0"/>
    <x v="0"/>
    <x v="4"/>
    <x v="1"/>
    <x v="1"/>
    <x v="0"/>
    <x v="0"/>
    <x v="0"/>
    <x v="0"/>
    <x v="6"/>
    <x v="0"/>
    <x v="0"/>
  </r>
  <r>
    <x v="409"/>
    <x v="0"/>
    <x v="0"/>
    <x v="12"/>
    <x v="2"/>
    <x v="1"/>
    <x v="1"/>
    <x v="2"/>
    <x v="0"/>
    <x v="3"/>
    <x v="0"/>
    <x v="0"/>
    <x v="31"/>
    <x v="0"/>
    <x v="0"/>
  </r>
  <r>
    <x v="410"/>
    <x v="0"/>
    <x v="0"/>
    <x v="6"/>
    <x v="1"/>
    <x v="4"/>
    <x v="1"/>
    <x v="3"/>
    <x v="0"/>
    <x v="1"/>
    <x v="0"/>
    <x v="0"/>
    <x v="30"/>
    <x v="0"/>
    <x v="1"/>
  </r>
  <r>
    <x v="411"/>
    <x v="0"/>
    <x v="1"/>
    <x v="3"/>
    <x v="0"/>
    <x v="2"/>
    <x v="1"/>
    <x v="0"/>
    <x v="0"/>
    <x v="2"/>
    <x v="2"/>
    <x v="1"/>
    <x v="1"/>
    <x v="0"/>
    <x v="0"/>
  </r>
  <r>
    <x v="412"/>
    <x v="1"/>
    <x v="1"/>
    <x v="0"/>
    <x v="0"/>
    <x v="4"/>
    <x v="1"/>
    <x v="1"/>
    <x v="0"/>
    <x v="0"/>
    <x v="0"/>
    <x v="0"/>
    <x v="17"/>
    <x v="0"/>
    <x v="0"/>
  </r>
  <r>
    <x v="413"/>
    <x v="1"/>
    <x v="0"/>
    <x v="1"/>
    <x v="1"/>
    <x v="4"/>
    <x v="1"/>
    <x v="1"/>
    <x v="1"/>
    <x v="2"/>
    <x v="2"/>
    <x v="1"/>
    <x v="41"/>
    <x v="1"/>
    <x v="0"/>
  </r>
  <r>
    <x v="414"/>
    <x v="0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0"/>
    <x v="2"/>
    <x v="4"/>
    <x v="4"/>
    <x v="0"/>
    <x v="4"/>
    <x v="0"/>
    <x v="1"/>
    <x v="8"/>
    <x v="0"/>
    <x v="0"/>
  </r>
  <r>
    <x v="416"/>
    <x v="1"/>
    <x v="1"/>
    <x v="10"/>
    <x v="0"/>
    <x v="4"/>
    <x v="0"/>
    <x v="2"/>
    <x v="1"/>
    <x v="1"/>
    <x v="0"/>
    <x v="1"/>
    <x v="34"/>
    <x v="0"/>
    <x v="1"/>
  </r>
  <r>
    <x v="417"/>
    <x v="1"/>
    <x v="0"/>
    <x v="1"/>
    <x v="1"/>
    <x v="4"/>
    <x v="1"/>
    <x v="1"/>
    <x v="1"/>
    <x v="2"/>
    <x v="2"/>
    <x v="1"/>
    <x v="41"/>
    <x v="1"/>
    <x v="0"/>
  </r>
  <r>
    <x v="418"/>
    <x v="0"/>
    <x v="1"/>
    <x v="1"/>
    <x v="1"/>
    <x v="0"/>
    <x v="0"/>
    <x v="0"/>
    <x v="0"/>
    <x v="2"/>
    <x v="0"/>
    <x v="0"/>
    <x v="3"/>
    <x v="0"/>
    <x v="1"/>
  </r>
  <r>
    <x v="419"/>
    <x v="1"/>
    <x v="1"/>
    <x v="4"/>
    <x v="1"/>
    <x v="4"/>
    <x v="1"/>
    <x v="3"/>
    <x v="0"/>
    <x v="1"/>
    <x v="0"/>
    <x v="0"/>
    <x v="36"/>
    <x v="0"/>
    <x v="1"/>
  </r>
  <r>
    <x v="420"/>
    <x v="0"/>
    <x v="0"/>
    <x v="11"/>
    <x v="2"/>
    <x v="4"/>
    <x v="0"/>
    <x v="4"/>
    <x v="0"/>
    <x v="3"/>
    <x v="4"/>
    <x v="0"/>
    <x v="14"/>
    <x v="0"/>
    <x v="0"/>
  </r>
  <r>
    <x v="421"/>
    <x v="0"/>
    <x v="1"/>
    <x v="4"/>
    <x v="1"/>
    <x v="4"/>
    <x v="1"/>
    <x v="3"/>
    <x v="0"/>
    <x v="0"/>
    <x v="3"/>
    <x v="0"/>
    <x v="36"/>
    <x v="0"/>
    <x v="0"/>
  </r>
  <r>
    <x v="422"/>
    <x v="1"/>
    <x v="1"/>
    <x v="15"/>
    <x v="2"/>
    <x v="3"/>
    <x v="1"/>
    <x v="4"/>
    <x v="1"/>
    <x v="4"/>
    <x v="4"/>
    <x v="1"/>
    <x v="21"/>
    <x v="0"/>
    <x v="1"/>
  </r>
  <r>
    <x v="423"/>
    <x v="1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1"/>
    <x v="3"/>
    <x v="3"/>
    <x v="0"/>
    <x v="2"/>
    <x v="0"/>
    <x v="0"/>
    <x v="1"/>
    <x v="0"/>
    <x v="0"/>
  </r>
  <r>
    <x v="425"/>
    <x v="0"/>
    <x v="1"/>
    <x v="0"/>
    <x v="0"/>
    <x v="4"/>
    <x v="0"/>
    <x v="4"/>
    <x v="0"/>
    <x v="2"/>
    <x v="0"/>
    <x v="1"/>
    <x v="41"/>
    <x v="1"/>
    <x v="0"/>
  </r>
  <r>
    <x v="426"/>
    <x v="1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2"/>
    <x v="0"/>
    <x v="4"/>
    <x v="4"/>
    <x v="0"/>
    <x v="0"/>
    <x v="0"/>
    <x v="1"/>
    <x v="4"/>
    <x v="0"/>
    <x v="1"/>
  </r>
  <r>
    <x v="428"/>
    <x v="0"/>
    <x v="1"/>
    <x v="15"/>
    <x v="2"/>
    <x v="5"/>
    <x v="0"/>
    <x v="4"/>
    <x v="0"/>
    <x v="4"/>
    <x v="1"/>
    <x v="1"/>
    <x v="28"/>
    <x v="0"/>
    <x v="0"/>
  </r>
  <r>
    <x v="429"/>
    <x v="1"/>
    <x v="0"/>
    <x v="1"/>
    <x v="1"/>
    <x v="3"/>
    <x v="1"/>
    <x v="1"/>
    <x v="0"/>
    <x v="1"/>
    <x v="1"/>
    <x v="0"/>
    <x v="23"/>
    <x v="0"/>
    <x v="0"/>
  </r>
  <r>
    <x v="430"/>
    <x v="1"/>
    <x v="0"/>
    <x v="1"/>
    <x v="1"/>
    <x v="1"/>
    <x v="2"/>
    <x v="0"/>
    <x v="0"/>
    <x v="2"/>
    <x v="2"/>
    <x v="1"/>
    <x v="10"/>
    <x v="0"/>
    <x v="0"/>
  </r>
  <r>
    <x v="431"/>
    <x v="1"/>
    <x v="1"/>
    <x v="6"/>
    <x v="1"/>
    <x v="3"/>
    <x v="1"/>
    <x v="3"/>
    <x v="0"/>
    <x v="0"/>
    <x v="0"/>
    <x v="1"/>
    <x v="26"/>
    <x v="2"/>
    <x v="1"/>
  </r>
  <r>
    <x v="432"/>
    <x v="0"/>
    <x v="0"/>
    <x v="15"/>
    <x v="2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1"/>
    <x v="0"/>
    <x v="0"/>
    <x v="22"/>
    <x v="2"/>
    <x v="0"/>
  </r>
  <r>
    <x v="434"/>
    <x v="0"/>
    <x v="0"/>
    <x v="1"/>
    <x v="1"/>
    <x v="1"/>
    <x v="2"/>
    <x v="0"/>
    <x v="0"/>
    <x v="2"/>
    <x v="2"/>
    <x v="1"/>
    <x v="39"/>
    <x v="0"/>
    <x v="1"/>
  </r>
  <r>
    <x v="435"/>
    <x v="1"/>
    <x v="0"/>
    <x v="4"/>
    <x v="1"/>
    <x v="4"/>
    <x v="0"/>
    <x v="1"/>
    <x v="1"/>
    <x v="1"/>
    <x v="1"/>
    <x v="0"/>
    <x v="35"/>
    <x v="1"/>
    <x v="0"/>
  </r>
  <r>
    <x v="436"/>
    <x v="0"/>
    <x v="0"/>
    <x v="2"/>
    <x v="0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1"/>
    <x v="0"/>
    <x v="2"/>
    <x v="0"/>
    <x v="0"/>
    <x v="26"/>
    <x v="2"/>
    <x v="1"/>
  </r>
  <r>
    <x v="438"/>
    <x v="1"/>
    <x v="0"/>
    <x v="2"/>
    <x v="0"/>
    <x v="3"/>
    <x v="4"/>
    <x v="0"/>
    <x v="1"/>
    <x v="0"/>
    <x v="0"/>
    <x v="0"/>
    <x v="8"/>
    <x v="0"/>
    <x v="1"/>
  </r>
  <r>
    <x v="439"/>
    <x v="0"/>
    <x v="1"/>
    <x v="3"/>
    <x v="0"/>
    <x v="2"/>
    <x v="1"/>
    <x v="0"/>
    <x v="0"/>
    <x v="2"/>
    <x v="0"/>
    <x v="1"/>
    <x v="20"/>
    <x v="0"/>
    <x v="0"/>
  </r>
  <r>
    <x v="440"/>
    <x v="1"/>
    <x v="1"/>
    <x v="8"/>
    <x v="2"/>
    <x v="3"/>
    <x v="0"/>
    <x v="2"/>
    <x v="1"/>
    <x v="4"/>
    <x v="4"/>
    <x v="1"/>
    <x v="17"/>
    <x v="0"/>
    <x v="1"/>
  </r>
  <r>
    <x v="441"/>
    <x v="0"/>
    <x v="1"/>
    <x v="3"/>
    <x v="0"/>
    <x v="4"/>
    <x v="1"/>
    <x v="0"/>
    <x v="0"/>
    <x v="2"/>
    <x v="2"/>
    <x v="1"/>
    <x v="31"/>
    <x v="0"/>
    <x v="1"/>
  </r>
  <r>
    <x v="442"/>
    <x v="1"/>
    <x v="1"/>
    <x v="2"/>
    <x v="0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1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1"/>
    <x v="4"/>
    <x v="1"/>
    <x v="1"/>
    <x v="1"/>
    <x v="2"/>
    <x v="0"/>
    <x v="1"/>
    <x v="45"/>
    <x v="1"/>
    <x v="0"/>
  </r>
  <r>
    <x v="453"/>
    <x v="1"/>
    <x v="0"/>
    <x v="3"/>
    <x v="0"/>
    <x v="2"/>
    <x v="1"/>
    <x v="0"/>
    <x v="0"/>
    <x v="2"/>
    <x v="2"/>
    <x v="1"/>
    <x v="12"/>
    <x v="0"/>
    <x v="0"/>
  </r>
  <r>
    <x v="454"/>
    <x v="1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0"/>
    <x v="5"/>
    <x v="1"/>
    <x v="2"/>
    <x v="1"/>
    <x v="1"/>
    <x v="1"/>
    <x v="0"/>
    <x v="39"/>
    <x v="0"/>
    <x v="1"/>
  </r>
  <r>
    <x v="456"/>
    <x v="1"/>
    <x v="1"/>
    <x v="7"/>
    <x v="2"/>
    <x v="1"/>
    <x v="2"/>
    <x v="2"/>
    <x v="1"/>
    <x v="3"/>
    <x v="2"/>
    <x v="0"/>
    <x v="5"/>
    <x v="0"/>
    <x v="0"/>
  </r>
  <r>
    <x v="457"/>
    <x v="0"/>
    <x v="0"/>
    <x v="6"/>
    <x v="1"/>
    <x v="0"/>
    <x v="1"/>
    <x v="3"/>
    <x v="0"/>
    <x v="0"/>
    <x v="0"/>
    <x v="0"/>
    <x v="27"/>
    <x v="1"/>
    <x v="0"/>
  </r>
  <r>
    <x v="458"/>
    <x v="0"/>
    <x v="1"/>
    <x v="7"/>
    <x v="2"/>
    <x v="3"/>
    <x v="3"/>
    <x v="2"/>
    <x v="0"/>
    <x v="3"/>
    <x v="4"/>
    <x v="1"/>
    <x v="21"/>
    <x v="0"/>
    <x v="1"/>
  </r>
  <r>
    <x v="459"/>
    <x v="1"/>
    <x v="0"/>
    <x v="2"/>
    <x v="0"/>
    <x v="3"/>
    <x v="0"/>
    <x v="2"/>
    <x v="1"/>
    <x v="4"/>
    <x v="4"/>
    <x v="1"/>
    <x v="6"/>
    <x v="0"/>
    <x v="0"/>
  </r>
  <r>
    <x v="460"/>
    <x v="1"/>
    <x v="1"/>
    <x v="6"/>
    <x v="1"/>
    <x v="3"/>
    <x v="3"/>
    <x v="3"/>
    <x v="0"/>
    <x v="2"/>
    <x v="3"/>
    <x v="0"/>
    <x v="23"/>
    <x v="0"/>
    <x v="1"/>
  </r>
  <r>
    <x v="461"/>
    <x v="0"/>
    <x v="0"/>
    <x v="7"/>
    <x v="2"/>
    <x v="0"/>
    <x v="0"/>
    <x v="4"/>
    <x v="0"/>
    <x v="2"/>
    <x v="0"/>
    <x v="1"/>
    <x v="30"/>
    <x v="0"/>
    <x v="1"/>
  </r>
  <r>
    <x v="462"/>
    <x v="0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1"/>
    <x v="4"/>
    <x v="2"/>
    <x v="3"/>
    <x v="0"/>
    <x v="1"/>
    <x v="0"/>
    <x v="0"/>
    <x v="8"/>
    <x v="0"/>
    <x v="0"/>
  </r>
  <r>
    <x v="464"/>
    <x v="1"/>
    <x v="0"/>
    <x v="1"/>
    <x v="1"/>
    <x v="1"/>
    <x v="0"/>
    <x v="1"/>
    <x v="0"/>
    <x v="0"/>
    <x v="0"/>
    <x v="0"/>
    <x v="30"/>
    <x v="0"/>
    <x v="1"/>
  </r>
  <r>
    <x v="465"/>
    <x v="0"/>
    <x v="1"/>
    <x v="0"/>
    <x v="0"/>
    <x v="4"/>
    <x v="0"/>
    <x v="4"/>
    <x v="0"/>
    <x v="2"/>
    <x v="0"/>
    <x v="1"/>
    <x v="27"/>
    <x v="1"/>
    <x v="0"/>
  </r>
  <r>
    <x v="466"/>
    <x v="1"/>
    <x v="0"/>
    <x v="1"/>
    <x v="1"/>
    <x v="1"/>
    <x v="0"/>
    <x v="1"/>
    <x v="0"/>
    <x v="0"/>
    <x v="0"/>
    <x v="0"/>
    <x v="15"/>
    <x v="0"/>
    <x v="1"/>
  </r>
  <r>
    <x v="467"/>
    <x v="1"/>
    <x v="1"/>
    <x v="11"/>
    <x v="2"/>
    <x v="0"/>
    <x v="0"/>
    <x v="4"/>
    <x v="1"/>
    <x v="4"/>
    <x v="0"/>
    <x v="1"/>
    <x v="30"/>
    <x v="0"/>
    <x v="1"/>
  </r>
  <r>
    <x v="468"/>
    <x v="0"/>
    <x v="0"/>
    <x v="2"/>
    <x v="0"/>
    <x v="2"/>
    <x v="4"/>
    <x v="4"/>
    <x v="0"/>
    <x v="4"/>
    <x v="0"/>
    <x v="1"/>
    <x v="8"/>
    <x v="0"/>
    <x v="0"/>
  </r>
  <r>
    <x v="469"/>
    <x v="0"/>
    <x v="0"/>
    <x v="1"/>
    <x v="1"/>
    <x v="0"/>
    <x v="0"/>
    <x v="1"/>
    <x v="0"/>
    <x v="0"/>
    <x v="0"/>
    <x v="0"/>
    <x v="27"/>
    <x v="1"/>
    <x v="0"/>
  </r>
  <r>
    <x v="470"/>
    <x v="1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0"/>
    <x v="3"/>
    <x v="0"/>
    <x v="2"/>
    <x v="1"/>
    <x v="2"/>
    <x v="2"/>
    <x v="1"/>
    <x v="1"/>
    <x v="0"/>
    <x v="1"/>
  </r>
  <r>
    <x v="472"/>
    <x v="1"/>
    <x v="0"/>
    <x v="0"/>
    <x v="0"/>
    <x v="3"/>
    <x v="4"/>
    <x v="1"/>
    <x v="0"/>
    <x v="0"/>
    <x v="0"/>
    <x v="0"/>
    <x v="13"/>
    <x v="0"/>
    <x v="1"/>
  </r>
  <r>
    <x v="473"/>
    <x v="0"/>
    <x v="0"/>
    <x v="1"/>
    <x v="1"/>
    <x v="3"/>
    <x v="0"/>
    <x v="1"/>
    <x v="0"/>
    <x v="0"/>
    <x v="0"/>
    <x v="0"/>
    <x v="15"/>
    <x v="0"/>
    <x v="1"/>
  </r>
  <r>
    <x v="474"/>
    <x v="0"/>
    <x v="0"/>
    <x v="8"/>
    <x v="2"/>
    <x v="4"/>
    <x v="0"/>
    <x v="2"/>
    <x v="1"/>
    <x v="0"/>
    <x v="0"/>
    <x v="1"/>
    <x v="4"/>
    <x v="0"/>
    <x v="1"/>
  </r>
  <r>
    <x v="475"/>
    <x v="0"/>
    <x v="1"/>
    <x v="6"/>
    <x v="1"/>
    <x v="5"/>
    <x v="2"/>
    <x v="0"/>
    <x v="1"/>
    <x v="2"/>
    <x v="3"/>
    <x v="1"/>
    <x v="2"/>
    <x v="1"/>
    <x v="0"/>
  </r>
  <r>
    <x v="476"/>
    <x v="1"/>
    <x v="0"/>
    <x v="3"/>
    <x v="0"/>
    <x v="3"/>
    <x v="0"/>
    <x v="2"/>
    <x v="0"/>
    <x v="1"/>
    <x v="2"/>
    <x v="1"/>
    <x v="0"/>
    <x v="0"/>
    <x v="1"/>
  </r>
  <r>
    <x v="477"/>
    <x v="0"/>
    <x v="1"/>
    <x v="3"/>
    <x v="0"/>
    <x v="4"/>
    <x v="2"/>
    <x v="0"/>
    <x v="1"/>
    <x v="2"/>
    <x v="3"/>
    <x v="1"/>
    <x v="5"/>
    <x v="0"/>
    <x v="1"/>
  </r>
  <r>
    <x v="478"/>
    <x v="0"/>
    <x v="1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0"/>
    <x v="1"/>
    <x v="0"/>
    <x v="0"/>
    <x v="21"/>
    <x v="0"/>
    <x v="1"/>
  </r>
  <r>
    <x v="480"/>
    <x v="0"/>
    <x v="0"/>
    <x v="8"/>
    <x v="2"/>
    <x v="0"/>
    <x v="0"/>
    <x v="2"/>
    <x v="0"/>
    <x v="1"/>
    <x v="2"/>
    <x v="1"/>
    <x v="30"/>
    <x v="0"/>
    <x v="0"/>
  </r>
  <r>
    <x v="481"/>
    <x v="1"/>
    <x v="0"/>
    <x v="0"/>
    <x v="0"/>
    <x v="4"/>
    <x v="1"/>
    <x v="1"/>
    <x v="0"/>
    <x v="0"/>
    <x v="3"/>
    <x v="0"/>
    <x v="6"/>
    <x v="0"/>
    <x v="1"/>
  </r>
  <r>
    <x v="482"/>
    <x v="1"/>
    <x v="1"/>
    <x v="0"/>
    <x v="0"/>
    <x v="3"/>
    <x v="4"/>
    <x v="1"/>
    <x v="1"/>
    <x v="0"/>
    <x v="0"/>
    <x v="0"/>
    <x v="4"/>
    <x v="0"/>
    <x v="1"/>
  </r>
  <r>
    <x v="483"/>
    <x v="0"/>
    <x v="1"/>
    <x v="4"/>
    <x v="1"/>
    <x v="0"/>
    <x v="4"/>
    <x v="1"/>
    <x v="0"/>
    <x v="0"/>
    <x v="0"/>
    <x v="0"/>
    <x v="43"/>
    <x v="1"/>
    <x v="0"/>
  </r>
  <r>
    <x v="484"/>
    <x v="1"/>
    <x v="0"/>
    <x v="1"/>
    <x v="1"/>
    <x v="3"/>
    <x v="1"/>
    <x v="1"/>
    <x v="1"/>
    <x v="1"/>
    <x v="1"/>
    <x v="0"/>
    <x v="23"/>
    <x v="0"/>
    <x v="1"/>
  </r>
  <r>
    <x v="485"/>
    <x v="1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2"/>
    <x v="5"/>
    <x v="3"/>
    <x v="0"/>
    <x v="0"/>
    <x v="3"/>
    <x v="4"/>
    <x v="0"/>
    <x v="7"/>
    <x v="0"/>
    <x v="0"/>
  </r>
  <r>
    <x v="487"/>
    <x v="0"/>
    <x v="1"/>
    <x v="0"/>
    <x v="0"/>
    <x v="3"/>
    <x v="0"/>
    <x v="1"/>
    <x v="0"/>
    <x v="0"/>
    <x v="0"/>
    <x v="0"/>
    <x v="32"/>
    <x v="0"/>
    <x v="0"/>
  </r>
  <r>
    <x v="488"/>
    <x v="1"/>
    <x v="0"/>
    <x v="4"/>
    <x v="1"/>
    <x v="3"/>
    <x v="3"/>
    <x v="3"/>
    <x v="0"/>
    <x v="2"/>
    <x v="3"/>
    <x v="0"/>
    <x v="17"/>
    <x v="0"/>
    <x v="0"/>
  </r>
  <r>
    <x v="489"/>
    <x v="0"/>
    <x v="1"/>
    <x v="6"/>
    <x v="1"/>
    <x v="3"/>
    <x v="3"/>
    <x v="3"/>
    <x v="0"/>
    <x v="2"/>
    <x v="0"/>
    <x v="0"/>
    <x v="21"/>
    <x v="0"/>
    <x v="0"/>
  </r>
  <r>
    <x v="490"/>
    <x v="0"/>
    <x v="1"/>
    <x v="10"/>
    <x v="0"/>
    <x v="5"/>
    <x v="0"/>
    <x v="2"/>
    <x v="0"/>
    <x v="0"/>
    <x v="1"/>
    <x v="2"/>
    <x v="30"/>
    <x v="0"/>
    <x v="0"/>
  </r>
  <r>
    <x v="491"/>
    <x v="0"/>
    <x v="1"/>
    <x v="3"/>
    <x v="0"/>
    <x v="4"/>
    <x v="3"/>
    <x v="0"/>
    <x v="0"/>
    <x v="2"/>
    <x v="2"/>
    <x v="2"/>
    <x v="28"/>
    <x v="0"/>
    <x v="0"/>
  </r>
  <r>
    <x v="492"/>
    <x v="1"/>
    <x v="0"/>
    <x v="0"/>
    <x v="0"/>
    <x v="1"/>
    <x v="1"/>
    <x v="1"/>
    <x v="0"/>
    <x v="1"/>
    <x v="3"/>
    <x v="2"/>
    <x v="23"/>
    <x v="0"/>
    <x v="1"/>
  </r>
  <r>
    <x v="493"/>
    <x v="1"/>
    <x v="1"/>
    <x v="3"/>
    <x v="0"/>
    <x v="2"/>
    <x v="0"/>
    <x v="4"/>
    <x v="0"/>
    <x v="4"/>
    <x v="4"/>
    <x v="2"/>
    <x v="2"/>
    <x v="1"/>
    <x v="1"/>
  </r>
  <r>
    <x v="494"/>
    <x v="0"/>
    <x v="1"/>
    <x v="3"/>
    <x v="0"/>
    <x v="5"/>
    <x v="2"/>
    <x v="2"/>
    <x v="0"/>
    <x v="0"/>
    <x v="2"/>
    <x v="2"/>
    <x v="36"/>
    <x v="0"/>
    <x v="0"/>
  </r>
  <r>
    <x v="495"/>
    <x v="0"/>
    <x v="1"/>
    <x v="10"/>
    <x v="0"/>
    <x v="4"/>
    <x v="1"/>
    <x v="2"/>
    <x v="0"/>
    <x v="2"/>
    <x v="4"/>
    <x v="2"/>
    <x v="16"/>
    <x v="0"/>
    <x v="0"/>
  </r>
  <r>
    <x v="496"/>
    <x v="1"/>
    <x v="0"/>
    <x v="10"/>
    <x v="0"/>
    <x v="1"/>
    <x v="0"/>
    <x v="0"/>
    <x v="0"/>
    <x v="1"/>
    <x v="1"/>
    <x v="2"/>
    <x v="8"/>
    <x v="0"/>
    <x v="1"/>
  </r>
  <r>
    <x v="497"/>
    <x v="1"/>
    <x v="0"/>
    <x v="3"/>
    <x v="0"/>
    <x v="0"/>
    <x v="4"/>
    <x v="2"/>
    <x v="0"/>
    <x v="0"/>
    <x v="1"/>
    <x v="2"/>
    <x v="17"/>
    <x v="0"/>
    <x v="1"/>
  </r>
  <r>
    <x v="498"/>
    <x v="0"/>
    <x v="1"/>
    <x v="2"/>
    <x v="0"/>
    <x v="0"/>
    <x v="1"/>
    <x v="0"/>
    <x v="0"/>
    <x v="1"/>
    <x v="1"/>
    <x v="2"/>
    <x v="28"/>
    <x v="0"/>
    <x v="1"/>
  </r>
  <r>
    <x v="499"/>
    <x v="1"/>
    <x v="0"/>
    <x v="0"/>
    <x v="0"/>
    <x v="3"/>
    <x v="2"/>
    <x v="0"/>
    <x v="1"/>
    <x v="2"/>
    <x v="3"/>
    <x v="2"/>
    <x v="23"/>
    <x v="0"/>
    <x v="1"/>
  </r>
  <r>
    <x v="500"/>
    <x v="0"/>
    <x v="1"/>
    <x v="10"/>
    <x v="0"/>
    <x v="2"/>
    <x v="0"/>
    <x v="2"/>
    <x v="0"/>
    <x v="1"/>
    <x v="1"/>
    <x v="2"/>
    <x v="15"/>
    <x v="0"/>
    <x v="0"/>
  </r>
  <r>
    <x v="501"/>
    <x v="0"/>
    <x v="0"/>
    <x v="14"/>
    <x v="0"/>
    <x v="3"/>
    <x v="4"/>
    <x v="0"/>
    <x v="0"/>
    <x v="0"/>
    <x v="0"/>
    <x v="2"/>
    <x v="17"/>
    <x v="0"/>
    <x v="0"/>
  </r>
  <r>
    <x v="502"/>
    <x v="0"/>
    <x v="1"/>
    <x v="0"/>
    <x v="0"/>
    <x v="3"/>
    <x v="1"/>
    <x v="0"/>
    <x v="0"/>
    <x v="1"/>
    <x v="2"/>
    <x v="2"/>
    <x v="19"/>
    <x v="2"/>
    <x v="0"/>
  </r>
  <r>
    <x v="503"/>
    <x v="0"/>
    <x v="0"/>
    <x v="12"/>
    <x v="2"/>
    <x v="0"/>
    <x v="0"/>
    <x v="4"/>
    <x v="0"/>
    <x v="3"/>
    <x v="1"/>
    <x v="2"/>
    <x v="20"/>
    <x v="0"/>
    <x v="1"/>
  </r>
  <r>
    <x v="504"/>
    <x v="0"/>
    <x v="1"/>
    <x v="3"/>
    <x v="0"/>
    <x v="4"/>
    <x v="0"/>
    <x v="0"/>
    <x v="0"/>
    <x v="1"/>
    <x v="1"/>
    <x v="2"/>
    <x v="13"/>
    <x v="0"/>
    <x v="1"/>
  </r>
  <r>
    <x v="505"/>
    <x v="0"/>
    <x v="1"/>
    <x v="11"/>
    <x v="2"/>
    <x v="5"/>
    <x v="1"/>
    <x v="2"/>
    <x v="0"/>
    <x v="3"/>
    <x v="0"/>
    <x v="2"/>
    <x v="8"/>
    <x v="0"/>
    <x v="0"/>
  </r>
  <r>
    <x v="506"/>
    <x v="0"/>
    <x v="0"/>
    <x v="3"/>
    <x v="0"/>
    <x v="5"/>
    <x v="0"/>
    <x v="2"/>
    <x v="0"/>
    <x v="2"/>
    <x v="1"/>
    <x v="2"/>
    <x v="0"/>
    <x v="0"/>
    <x v="1"/>
  </r>
  <r>
    <x v="507"/>
    <x v="0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0"/>
    <x v="3"/>
    <x v="1"/>
    <x v="0"/>
    <x v="1"/>
    <x v="2"/>
    <x v="3"/>
    <x v="2"/>
    <x v="19"/>
    <x v="2"/>
    <x v="0"/>
  </r>
  <r>
    <x v="509"/>
    <x v="0"/>
    <x v="1"/>
    <x v="2"/>
    <x v="0"/>
    <x v="1"/>
    <x v="0"/>
    <x v="2"/>
    <x v="0"/>
    <x v="1"/>
    <x v="1"/>
    <x v="2"/>
    <x v="28"/>
    <x v="0"/>
    <x v="1"/>
  </r>
  <r>
    <x v="510"/>
    <x v="1"/>
    <x v="1"/>
    <x v="3"/>
    <x v="0"/>
    <x v="3"/>
    <x v="0"/>
    <x v="2"/>
    <x v="1"/>
    <x v="1"/>
    <x v="1"/>
    <x v="2"/>
    <x v="34"/>
    <x v="0"/>
    <x v="1"/>
  </r>
  <r>
    <x v="511"/>
    <x v="1"/>
    <x v="1"/>
    <x v="2"/>
    <x v="0"/>
    <x v="5"/>
    <x v="0"/>
    <x v="4"/>
    <x v="0"/>
    <x v="0"/>
    <x v="2"/>
    <x v="2"/>
    <x v="29"/>
    <x v="1"/>
    <x v="1"/>
  </r>
  <r>
    <x v="512"/>
    <x v="0"/>
    <x v="0"/>
    <x v="10"/>
    <x v="0"/>
    <x v="0"/>
    <x v="1"/>
    <x v="0"/>
    <x v="0"/>
    <x v="1"/>
    <x v="0"/>
    <x v="2"/>
    <x v="12"/>
    <x v="0"/>
    <x v="1"/>
  </r>
  <r>
    <x v="513"/>
    <x v="1"/>
    <x v="0"/>
    <x v="10"/>
    <x v="0"/>
    <x v="5"/>
    <x v="4"/>
    <x v="4"/>
    <x v="0"/>
    <x v="2"/>
    <x v="4"/>
    <x v="2"/>
    <x v="33"/>
    <x v="1"/>
    <x v="1"/>
  </r>
  <r>
    <x v="514"/>
    <x v="1"/>
    <x v="1"/>
    <x v="0"/>
    <x v="0"/>
    <x v="3"/>
    <x v="0"/>
    <x v="2"/>
    <x v="1"/>
    <x v="1"/>
    <x v="1"/>
    <x v="2"/>
    <x v="12"/>
    <x v="0"/>
    <x v="0"/>
  </r>
  <r>
    <x v="515"/>
    <x v="0"/>
    <x v="0"/>
    <x v="3"/>
    <x v="0"/>
    <x v="2"/>
    <x v="0"/>
    <x v="2"/>
    <x v="0"/>
    <x v="2"/>
    <x v="1"/>
    <x v="2"/>
    <x v="15"/>
    <x v="0"/>
    <x v="0"/>
  </r>
  <r>
    <x v="516"/>
    <x v="0"/>
    <x v="0"/>
    <x v="10"/>
    <x v="0"/>
    <x v="4"/>
    <x v="2"/>
    <x v="2"/>
    <x v="0"/>
    <x v="2"/>
    <x v="2"/>
    <x v="2"/>
    <x v="38"/>
    <x v="0"/>
    <x v="0"/>
  </r>
  <r>
    <x v="517"/>
    <x v="1"/>
    <x v="1"/>
    <x v="10"/>
    <x v="0"/>
    <x v="1"/>
    <x v="0"/>
    <x v="2"/>
    <x v="1"/>
    <x v="0"/>
    <x v="0"/>
    <x v="2"/>
    <x v="15"/>
    <x v="0"/>
    <x v="1"/>
  </r>
  <r>
    <x v="518"/>
    <x v="0"/>
    <x v="0"/>
    <x v="2"/>
    <x v="0"/>
    <x v="3"/>
    <x v="0"/>
    <x v="4"/>
    <x v="0"/>
    <x v="1"/>
    <x v="3"/>
    <x v="2"/>
    <x v="17"/>
    <x v="0"/>
    <x v="1"/>
  </r>
  <r>
    <x v="519"/>
    <x v="0"/>
    <x v="1"/>
    <x v="2"/>
    <x v="0"/>
    <x v="2"/>
    <x v="0"/>
    <x v="4"/>
    <x v="0"/>
    <x v="2"/>
    <x v="3"/>
    <x v="2"/>
    <x v="46"/>
    <x v="1"/>
    <x v="0"/>
  </r>
  <r>
    <x v="520"/>
    <x v="1"/>
    <x v="1"/>
    <x v="11"/>
    <x v="2"/>
    <x v="0"/>
    <x v="1"/>
    <x v="2"/>
    <x v="1"/>
    <x v="4"/>
    <x v="3"/>
    <x v="2"/>
    <x v="20"/>
    <x v="0"/>
    <x v="0"/>
  </r>
  <r>
    <x v="521"/>
    <x v="1"/>
    <x v="1"/>
    <x v="0"/>
    <x v="0"/>
    <x v="5"/>
    <x v="2"/>
    <x v="2"/>
    <x v="0"/>
    <x v="2"/>
    <x v="4"/>
    <x v="2"/>
    <x v="24"/>
    <x v="1"/>
    <x v="1"/>
  </r>
  <r>
    <x v="522"/>
    <x v="1"/>
    <x v="1"/>
    <x v="10"/>
    <x v="0"/>
    <x v="1"/>
    <x v="0"/>
    <x v="2"/>
    <x v="1"/>
    <x v="1"/>
    <x v="0"/>
    <x v="2"/>
    <x v="15"/>
    <x v="0"/>
    <x v="1"/>
  </r>
  <r>
    <x v="523"/>
    <x v="0"/>
    <x v="1"/>
    <x v="2"/>
    <x v="0"/>
    <x v="1"/>
    <x v="1"/>
    <x v="2"/>
    <x v="1"/>
    <x v="2"/>
    <x v="0"/>
    <x v="2"/>
    <x v="38"/>
    <x v="0"/>
    <x v="1"/>
  </r>
  <r>
    <x v="524"/>
    <x v="1"/>
    <x v="0"/>
    <x v="2"/>
    <x v="0"/>
    <x v="5"/>
    <x v="4"/>
    <x v="4"/>
    <x v="0"/>
    <x v="2"/>
    <x v="2"/>
    <x v="2"/>
    <x v="41"/>
    <x v="1"/>
    <x v="0"/>
  </r>
  <r>
    <x v="525"/>
    <x v="1"/>
    <x v="1"/>
    <x v="10"/>
    <x v="0"/>
    <x v="2"/>
    <x v="0"/>
    <x v="4"/>
    <x v="0"/>
    <x v="4"/>
    <x v="4"/>
    <x v="2"/>
    <x v="14"/>
    <x v="0"/>
    <x v="1"/>
  </r>
  <r>
    <x v="526"/>
    <x v="0"/>
    <x v="0"/>
    <x v="15"/>
    <x v="2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0"/>
    <x v="2"/>
    <x v="4"/>
    <x v="0"/>
    <x v="0"/>
  </r>
  <r>
    <x v="528"/>
    <x v="1"/>
    <x v="0"/>
    <x v="1"/>
    <x v="1"/>
    <x v="3"/>
    <x v="1"/>
    <x v="0"/>
    <x v="0"/>
    <x v="1"/>
    <x v="2"/>
    <x v="2"/>
    <x v="26"/>
    <x v="2"/>
    <x v="0"/>
  </r>
  <r>
    <x v="529"/>
    <x v="0"/>
    <x v="1"/>
    <x v="10"/>
    <x v="0"/>
    <x v="4"/>
    <x v="1"/>
    <x v="2"/>
    <x v="0"/>
    <x v="1"/>
    <x v="4"/>
    <x v="2"/>
    <x v="42"/>
    <x v="0"/>
    <x v="1"/>
  </r>
  <r>
    <x v="530"/>
    <x v="0"/>
    <x v="1"/>
    <x v="10"/>
    <x v="0"/>
    <x v="3"/>
    <x v="1"/>
    <x v="0"/>
    <x v="0"/>
    <x v="1"/>
    <x v="2"/>
    <x v="2"/>
    <x v="40"/>
    <x v="2"/>
    <x v="1"/>
  </r>
  <r>
    <x v="531"/>
    <x v="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0"/>
    <x v="2"/>
    <x v="1"/>
    <x v="1"/>
    <x v="0"/>
    <x v="2"/>
    <x v="20"/>
    <x v="0"/>
    <x v="1"/>
  </r>
  <r>
    <x v="533"/>
    <x v="0"/>
    <x v="1"/>
    <x v="10"/>
    <x v="0"/>
    <x v="1"/>
    <x v="0"/>
    <x v="4"/>
    <x v="0"/>
    <x v="2"/>
    <x v="4"/>
    <x v="2"/>
    <x v="29"/>
    <x v="1"/>
    <x v="0"/>
  </r>
  <r>
    <x v="534"/>
    <x v="0"/>
    <x v="1"/>
    <x v="0"/>
    <x v="0"/>
    <x v="5"/>
    <x v="2"/>
    <x v="2"/>
    <x v="0"/>
    <x v="2"/>
    <x v="4"/>
    <x v="2"/>
    <x v="46"/>
    <x v="1"/>
    <x v="0"/>
  </r>
  <r>
    <x v="535"/>
    <x v="0"/>
    <x v="1"/>
    <x v="14"/>
    <x v="0"/>
    <x v="1"/>
    <x v="0"/>
    <x v="0"/>
    <x v="0"/>
    <x v="4"/>
    <x v="4"/>
    <x v="2"/>
    <x v="3"/>
    <x v="0"/>
    <x v="0"/>
  </r>
  <r>
    <x v="536"/>
    <x v="1"/>
    <x v="0"/>
    <x v="2"/>
    <x v="0"/>
    <x v="1"/>
    <x v="0"/>
    <x v="0"/>
    <x v="0"/>
    <x v="1"/>
    <x v="0"/>
    <x v="2"/>
    <x v="3"/>
    <x v="0"/>
    <x v="1"/>
  </r>
  <r>
    <x v="537"/>
    <x v="0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0"/>
    <x v="5"/>
    <x v="0"/>
    <x v="4"/>
    <x v="0"/>
    <x v="0"/>
    <x v="0"/>
    <x v="2"/>
    <x v="0"/>
    <x v="0"/>
    <x v="0"/>
  </r>
  <r>
    <x v="539"/>
    <x v="1"/>
    <x v="0"/>
    <x v="3"/>
    <x v="0"/>
    <x v="3"/>
    <x v="0"/>
    <x v="2"/>
    <x v="1"/>
    <x v="1"/>
    <x v="1"/>
    <x v="2"/>
    <x v="34"/>
    <x v="0"/>
    <x v="1"/>
  </r>
  <r>
    <x v="540"/>
    <x v="1"/>
    <x v="0"/>
    <x v="3"/>
    <x v="0"/>
    <x v="1"/>
    <x v="4"/>
    <x v="4"/>
    <x v="0"/>
    <x v="2"/>
    <x v="3"/>
    <x v="2"/>
    <x v="31"/>
    <x v="0"/>
    <x v="0"/>
  </r>
  <r>
    <x v="541"/>
    <x v="0"/>
    <x v="1"/>
    <x v="14"/>
    <x v="0"/>
    <x v="0"/>
    <x v="4"/>
    <x v="0"/>
    <x v="0"/>
    <x v="0"/>
    <x v="3"/>
    <x v="2"/>
    <x v="17"/>
    <x v="0"/>
    <x v="0"/>
  </r>
  <r>
    <x v="542"/>
    <x v="0"/>
    <x v="1"/>
    <x v="0"/>
    <x v="0"/>
    <x v="3"/>
    <x v="2"/>
    <x v="0"/>
    <x v="0"/>
    <x v="2"/>
    <x v="2"/>
    <x v="2"/>
    <x v="19"/>
    <x v="2"/>
    <x v="0"/>
  </r>
  <r>
    <x v="543"/>
    <x v="0"/>
    <x v="0"/>
    <x v="3"/>
    <x v="0"/>
    <x v="4"/>
    <x v="2"/>
    <x v="2"/>
    <x v="0"/>
    <x v="2"/>
    <x v="1"/>
    <x v="2"/>
    <x v="39"/>
    <x v="0"/>
    <x v="0"/>
  </r>
  <r>
    <x v="544"/>
    <x v="1"/>
    <x v="1"/>
    <x v="7"/>
    <x v="2"/>
    <x v="4"/>
    <x v="0"/>
    <x v="4"/>
    <x v="1"/>
    <x v="3"/>
    <x v="3"/>
    <x v="2"/>
    <x v="8"/>
    <x v="0"/>
    <x v="0"/>
  </r>
  <r>
    <x v="545"/>
    <x v="1"/>
    <x v="1"/>
    <x v="10"/>
    <x v="0"/>
    <x v="3"/>
    <x v="1"/>
    <x v="0"/>
    <x v="1"/>
    <x v="2"/>
    <x v="3"/>
    <x v="2"/>
    <x v="19"/>
    <x v="2"/>
    <x v="0"/>
  </r>
  <r>
    <x v="546"/>
    <x v="0"/>
    <x v="1"/>
    <x v="10"/>
    <x v="0"/>
    <x v="5"/>
    <x v="0"/>
    <x v="2"/>
    <x v="0"/>
    <x v="2"/>
    <x v="1"/>
    <x v="2"/>
    <x v="1"/>
    <x v="0"/>
    <x v="1"/>
  </r>
  <r>
    <x v="547"/>
    <x v="0"/>
    <x v="1"/>
    <x v="10"/>
    <x v="0"/>
    <x v="4"/>
    <x v="2"/>
    <x v="2"/>
    <x v="0"/>
    <x v="2"/>
    <x v="1"/>
    <x v="2"/>
    <x v="10"/>
    <x v="0"/>
    <x v="1"/>
  </r>
  <r>
    <x v="548"/>
    <x v="1"/>
    <x v="0"/>
    <x v="2"/>
    <x v="0"/>
    <x v="5"/>
    <x v="4"/>
    <x v="0"/>
    <x v="1"/>
    <x v="0"/>
    <x v="0"/>
    <x v="2"/>
    <x v="28"/>
    <x v="0"/>
    <x v="0"/>
  </r>
  <r>
    <x v="549"/>
    <x v="0"/>
    <x v="0"/>
    <x v="12"/>
    <x v="2"/>
    <x v="1"/>
    <x v="0"/>
    <x v="4"/>
    <x v="0"/>
    <x v="4"/>
    <x v="0"/>
    <x v="2"/>
    <x v="12"/>
    <x v="0"/>
    <x v="1"/>
  </r>
  <r>
    <x v="550"/>
    <x v="1"/>
    <x v="0"/>
    <x v="3"/>
    <x v="0"/>
    <x v="3"/>
    <x v="0"/>
    <x v="2"/>
    <x v="1"/>
    <x v="1"/>
    <x v="0"/>
    <x v="1"/>
    <x v="0"/>
    <x v="0"/>
    <x v="1"/>
  </r>
  <r>
    <x v="551"/>
    <x v="0"/>
    <x v="0"/>
    <x v="14"/>
    <x v="0"/>
    <x v="5"/>
    <x v="0"/>
    <x v="4"/>
    <x v="0"/>
    <x v="2"/>
    <x v="4"/>
    <x v="2"/>
    <x v="18"/>
    <x v="1"/>
    <x v="0"/>
  </r>
  <r>
    <x v="552"/>
    <x v="1"/>
    <x v="1"/>
    <x v="10"/>
    <x v="0"/>
    <x v="1"/>
    <x v="2"/>
    <x v="2"/>
    <x v="0"/>
    <x v="2"/>
    <x v="4"/>
    <x v="2"/>
    <x v="9"/>
    <x v="0"/>
    <x v="1"/>
  </r>
  <r>
    <x v="553"/>
    <x v="0"/>
    <x v="1"/>
    <x v="0"/>
    <x v="0"/>
    <x v="1"/>
    <x v="1"/>
    <x v="2"/>
    <x v="1"/>
    <x v="2"/>
    <x v="2"/>
    <x v="2"/>
    <x v="49"/>
    <x v="1"/>
    <x v="1"/>
  </r>
  <r>
    <x v="554"/>
    <x v="0"/>
    <x v="0"/>
    <x v="10"/>
    <x v="0"/>
    <x v="4"/>
    <x v="4"/>
    <x v="2"/>
    <x v="0"/>
    <x v="0"/>
    <x v="1"/>
    <x v="2"/>
    <x v="8"/>
    <x v="0"/>
    <x v="1"/>
  </r>
  <r>
    <x v="555"/>
    <x v="1"/>
    <x v="1"/>
    <x v="14"/>
    <x v="0"/>
    <x v="3"/>
    <x v="1"/>
    <x v="0"/>
    <x v="1"/>
    <x v="1"/>
    <x v="1"/>
    <x v="2"/>
    <x v="32"/>
    <x v="0"/>
    <x v="1"/>
  </r>
  <r>
    <x v="556"/>
    <x v="0"/>
    <x v="1"/>
    <x v="2"/>
    <x v="0"/>
    <x v="5"/>
    <x v="0"/>
    <x v="4"/>
    <x v="0"/>
    <x v="0"/>
    <x v="3"/>
    <x v="2"/>
    <x v="0"/>
    <x v="0"/>
    <x v="0"/>
  </r>
  <r>
    <x v="557"/>
    <x v="0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0"/>
    <x v="1"/>
    <x v="0"/>
    <x v="0"/>
    <x v="0"/>
    <x v="2"/>
    <x v="0"/>
    <x v="2"/>
    <x v="3"/>
    <x v="0"/>
    <x v="0"/>
  </r>
  <r>
    <x v="559"/>
    <x v="1"/>
    <x v="0"/>
    <x v="10"/>
    <x v="0"/>
    <x v="4"/>
    <x v="0"/>
    <x v="4"/>
    <x v="0"/>
    <x v="0"/>
    <x v="4"/>
    <x v="2"/>
    <x v="7"/>
    <x v="0"/>
    <x v="0"/>
  </r>
  <r>
    <x v="560"/>
    <x v="0"/>
    <x v="0"/>
    <x v="10"/>
    <x v="0"/>
    <x v="3"/>
    <x v="4"/>
    <x v="2"/>
    <x v="0"/>
    <x v="0"/>
    <x v="0"/>
    <x v="2"/>
    <x v="8"/>
    <x v="0"/>
    <x v="0"/>
  </r>
  <r>
    <x v="561"/>
    <x v="0"/>
    <x v="0"/>
    <x v="6"/>
    <x v="1"/>
    <x v="4"/>
    <x v="3"/>
    <x v="1"/>
    <x v="1"/>
    <x v="0"/>
    <x v="0"/>
    <x v="2"/>
    <x v="28"/>
    <x v="0"/>
    <x v="0"/>
  </r>
  <r>
    <x v="562"/>
    <x v="0"/>
    <x v="0"/>
    <x v="3"/>
    <x v="0"/>
    <x v="4"/>
    <x v="4"/>
    <x v="2"/>
    <x v="0"/>
    <x v="0"/>
    <x v="1"/>
    <x v="2"/>
    <x v="17"/>
    <x v="0"/>
    <x v="1"/>
  </r>
  <r>
    <x v="563"/>
    <x v="1"/>
    <x v="0"/>
    <x v="1"/>
    <x v="1"/>
    <x v="3"/>
    <x v="1"/>
    <x v="0"/>
    <x v="0"/>
    <x v="1"/>
    <x v="2"/>
    <x v="2"/>
    <x v="26"/>
    <x v="2"/>
    <x v="0"/>
  </r>
  <r>
    <x v="564"/>
    <x v="1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0"/>
    <x v="1"/>
    <x v="1"/>
    <x v="2"/>
    <x v="1"/>
    <x v="2"/>
    <x v="2"/>
    <x v="2"/>
    <x v="9"/>
    <x v="0"/>
    <x v="1"/>
  </r>
  <r>
    <x v="566"/>
    <x v="0"/>
    <x v="0"/>
    <x v="10"/>
    <x v="0"/>
    <x v="4"/>
    <x v="4"/>
    <x v="4"/>
    <x v="0"/>
    <x v="2"/>
    <x v="2"/>
    <x v="2"/>
    <x v="43"/>
    <x v="1"/>
    <x v="0"/>
  </r>
  <r>
    <x v="567"/>
    <x v="0"/>
    <x v="1"/>
    <x v="0"/>
    <x v="0"/>
    <x v="0"/>
    <x v="1"/>
    <x v="1"/>
    <x v="0"/>
    <x v="1"/>
    <x v="3"/>
    <x v="2"/>
    <x v="28"/>
    <x v="0"/>
    <x v="1"/>
  </r>
  <r>
    <x v="568"/>
    <x v="0"/>
    <x v="1"/>
    <x v="3"/>
    <x v="0"/>
    <x v="0"/>
    <x v="1"/>
    <x v="0"/>
    <x v="0"/>
    <x v="1"/>
    <x v="1"/>
    <x v="2"/>
    <x v="20"/>
    <x v="0"/>
    <x v="1"/>
  </r>
  <r>
    <x v="569"/>
    <x v="1"/>
    <x v="1"/>
    <x v="14"/>
    <x v="0"/>
    <x v="1"/>
    <x v="4"/>
    <x v="4"/>
    <x v="0"/>
    <x v="2"/>
    <x v="4"/>
    <x v="2"/>
    <x v="45"/>
    <x v="1"/>
    <x v="0"/>
  </r>
  <r>
    <x v="570"/>
    <x v="0"/>
    <x v="1"/>
    <x v="3"/>
    <x v="0"/>
    <x v="1"/>
    <x v="3"/>
    <x v="0"/>
    <x v="0"/>
    <x v="2"/>
    <x v="2"/>
    <x v="2"/>
    <x v="31"/>
    <x v="0"/>
    <x v="0"/>
  </r>
  <r>
    <x v="571"/>
    <x v="0"/>
    <x v="1"/>
    <x v="0"/>
    <x v="0"/>
    <x v="4"/>
    <x v="3"/>
    <x v="0"/>
    <x v="0"/>
    <x v="2"/>
    <x v="1"/>
    <x v="2"/>
    <x v="10"/>
    <x v="0"/>
    <x v="0"/>
  </r>
  <r>
    <x v="572"/>
    <x v="1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0"/>
    <x v="1"/>
    <x v="4"/>
    <x v="4"/>
    <x v="0"/>
    <x v="2"/>
    <x v="3"/>
    <x v="2"/>
    <x v="18"/>
    <x v="1"/>
    <x v="0"/>
  </r>
  <r>
    <x v="574"/>
    <x v="1"/>
    <x v="0"/>
    <x v="2"/>
    <x v="0"/>
    <x v="3"/>
    <x v="0"/>
    <x v="4"/>
    <x v="0"/>
    <x v="1"/>
    <x v="3"/>
    <x v="2"/>
    <x v="17"/>
    <x v="0"/>
    <x v="1"/>
  </r>
  <r>
    <x v="575"/>
    <x v="1"/>
    <x v="1"/>
    <x v="10"/>
    <x v="0"/>
    <x v="4"/>
    <x v="1"/>
    <x v="2"/>
    <x v="0"/>
    <x v="1"/>
    <x v="4"/>
    <x v="2"/>
    <x v="16"/>
    <x v="0"/>
    <x v="0"/>
  </r>
  <r>
    <x v="576"/>
    <x v="1"/>
    <x v="0"/>
    <x v="0"/>
    <x v="0"/>
    <x v="3"/>
    <x v="2"/>
    <x v="0"/>
    <x v="0"/>
    <x v="1"/>
    <x v="2"/>
    <x v="2"/>
    <x v="23"/>
    <x v="0"/>
    <x v="0"/>
  </r>
  <r>
    <x v="577"/>
    <x v="0"/>
    <x v="1"/>
    <x v="7"/>
    <x v="2"/>
    <x v="0"/>
    <x v="0"/>
    <x v="4"/>
    <x v="0"/>
    <x v="3"/>
    <x v="0"/>
    <x v="2"/>
    <x v="13"/>
    <x v="0"/>
    <x v="0"/>
  </r>
  <r>
    <x v="578"/>
    <x v="0"/>
    <x v="1"/>
    <x v="10"/>
    <x v="0"/>
    <x v="5"/>
    <x v="0"/>
    <x v="4"/>
    <x v="0"/>
    <x v="2"/>
    <x v="1"/>
    <x v="2"/>
    <x v="14"/>
    <x v="0"/>
    <x v="0"/>
  </r>
  <r>
    <x v="579"/>
    <x v="1"/>
    <x v="0"/>
    <x v="0"/>
    <x v="0"/>
    <x v="1"/>
    <x v="1"/>
    <x v="1"/>
    <x v="1"/>
    <x v="2"/>
    <x v="0"/>
    <x v="2"/>
    <x v="21"/>
    <x v="0"/>
    <x v="0"/>
  </r>
  <r>
    <x v="580"/>
    <x v="0"/>
    <x v="0"/>
    <x v="10"/>
    <x v="0"/>
    <x v="1"/>
    <x v="4"/>
    <x v="4"/>
    <x v="0"/>
    <x v="2"/>
    <x v="4"/>
    <x v="2"/>
    <x v="45"/>
    <x v="1"/>
    <x v="0"/>
  </r>
  <r>
    <x v="581"/>
    <x v="0"/>
    <x v="1"/>
    <x v="0"/>
    <x v="0"/>
    <x v="3"/>
    <x v="1"/>
    <x v="0"/>
    <x v="0"/>
    <x v="1"/>
    <x v="2"/>
    <x v="2"/>
    <x v="26"/>
    <x v="2"/>
    <x v="0"/>
  </r>
  <r>
    <x v="582"/>
    <x v="0"/>
    <x v="1"/>
    <x v="2"/>
    <x v="0"/>
    <x v="5"/>
    <x v="4"/>
    <x v="0"/>
    <x v="0"/>
    <x v="0"/>
    <x v="3"/>
    <x v="2"/>
    <x v="15"/>
    <x v="0"/>
    <x v="0"/>
  </r>
  <r>
    <x v="583"/>
    <x v="0"/>
    <x v="1"/>
    <x v="10"/>
    <x v="0"/>
    <x v="1"/>
    <x v="0"/>
    <x v="4"/>
    <x v="0"/>
    <x v="2"/>
    <x v="4"/>
    <x v="2"/>
    <x v="29"/>
    <x v="1"/>
    <x v="0"/>
  </r>
  <r>
    <x v="584"/>
    <x v="1"/>
    <x v="1"/>
    <x v="3"/>
    <x v="0"/>
    <x v="4"/>
    <x v="0"/>
    <x v="0"/>
    <x v="1"/>
    <x v="1"/>
    <x v="0"/>
    <x v="2"/>
    <x v="34"/>
    <x v="0"/>
    <x v="1"/>
  </r>
  <r>
    <x v="585"/>
    <x v="1"/>
    <x v="1"/>
    <x v="7"/>
    <x v="2"/>
    <x v="4"/>
    <x v="0"/>
    <x v="4"/>
    <x v="1"/>
    <x v="4"/>
    <x v="0"/>
    <x v="2"/>
    <x v="32"/>
    <x v="0"/>
    <x v="1"/>
  </r>
  <r>
    <x v="586"/>
    <x v="0"/>
    <x v="1"/>
    <x v="10"/>
    <x v="0"/>
    <x v="4"/>
    <x v="2"/>
    <x v="2"/>
    <x v="1"/>
    <x v="2"/>
    <x v="3"/>
    <x v="2"/>
    <x v="36"/>
    <x v="0"/>
    <x v="0"/>
  </r>
  <r>
    <x v="587"/>
    <x v="0"/>
    <x v="0"/>
    <x v="12"/>
    <x v="2"/>
    <x v="3"/>
    <x v="4"/>
    <x v="4"/>
    <x v="0"/>
    <x v="4"/>
    <x v="3"/>
    <x v="2"/>
    <x v="8"/>
    <x v="0"/>
    <x v="0"/>
  </r>
  <r>
    <x v="588"/>
    <x v="0"/>
    <x v="0"/>
    <x v="8"/>
    <x v="2"/>
    <x v="4"/>
    <x v="2"/>
    <x v="2"/>
    <x v="0"/>
    <x v="1"/>
    <x v="4"/>
    <x v="2"/>
    <x v="36"/>
    <x v="0"/>
    <x v="1"/>
  </r>
  <r>
    <x v="589"/>
    <x v="1"/>
    <x v="1"/>
    <x v="10"/>
    <x v="0"/>
    <x v="4"/>
    <x v="0"/>
    <x v="4"/>
    <x v="0"/>
    <x v="0"/>
    <x v="4"/>
    <x v="2"/>
    <x v="42"/>
    <x v="0"/>
    <x v="0"/>
  </r>
  <r>
    <x v="590"/>
    <x v="0"/>
    <x v="0"/>
    <x v="10"/>
    <x v="0"/>
    <x v="0"/>
    <x v="4"/>
    <x v="2"/>
    <x v="1"/>
    <x v="0"/>
    <x v="0"/>
    <x v="2"/>
    <x v="11"/>
    <x v="0"/>
    <x v="1"/>
  </r>
  <r>
    <x v="591"/>
    <x v="0"/>
    <x v="1"/>
    <x v="0"/>
    <x v="0"/>
    <x v="5"/>
    <x v="2"/>
    <x v="2"/>
    <x v="1"/>
    <x v="2"/>
    <x v="4"/>
    <x v="2"/>
    <x v="33"/>
    <x v="1"/>
    <x v="1"/>
  </r>
  <r>
    <x v="592"/>
    <x v="1"/>
    <x v="0"/>
    <x v="2"/>
    <x v="0"/>
    <x v="2"/>
    <x v="1"/>
    <x v="2"/>
    <x v="0"/>
    <x v="2"/>
    <x v="2"/>
    <x v="2"/>
    <x v="20"/>
    <x v="0"/>
    <x v="0"/>
  </r>
  <r>
    <x v="593"/>
    <x v="1"/>
    <x v="0"/>
    <x v="3"/>
    <x v="0"/>
    <x v="4"/>
    <x v="1"/>
    <x v="2"/>
    <x v="0"/>
    <x v="0"/>
    <x v="2"/>
    <x v="2"/>
    <x v="38"/>
    <x v="0"/>
    <x v="1"/>
  </r>
  <r>
    <x v="594"/>
    <x v="0"/>
    <x v="1"/>
    <x v="2"/>
    <x v="0"/>
    <x v="5"/>
    <x v="4"/>
    <x v="4"/>
    <x v="0"/>
    <x v="2"/>
    <x v="2"/>
    <x v="2"/>
    <x v="43"/>
    <x v="1"/>
    <x v="0"/>
  </r>
  <r>
    <x v="595"/>
    <x v="1"/>
    <x v="0"/>
    <x v="6"/>
    <x v="1"/>
    <x v="1"/>
    <x v="2"/>
    <x v="0"/>
    <x v="0"/>
    <x v="2"/>
    <x v="1"/>
    <x v="2"/>
    <x v="44"/>
    <x v="1"/>
    <x v="0"/>
  </r>
  <r>
    <x v="596"/>
    <x v="0"/>
    <x v="0"/>
    <x v="8"/>
    <x v="2"/>
    <x v="5"/>
    <x v="1"/>
    <x v="2"/>
    <x v="0"/>
    <x v="1"/>
    <x v="3"/>
    <x v="2"/>
    <x v="12"/>
    <x v="0"/>
    <x v="0"/>
  </r>
  <r>
    <x v="597"/>
    <x v="1"/>
    <x v="1"/>
    <x v="0"/>
    <x v="0"/>
    <x v="4"/>
    <x v="2"/>
    <x v="2"/>
    <x v="1"/>
    <x v="1"/>
    <x v="1"/>
    <x v="2"/>
    <x v="7"/>
    <x v="0"/>
    <x v="1"/>
  </r>
  <r>
    <x v="598"/>
    <x v="0"/>
    <x v="1"/>
    <x v="12"/>
    <x v="2"/>
    <x v="0"/>
    <x v="4"/>
    <x v="4"/>
    <x v="0"/>
    <x v="3"/>
    <x v="0"/>
    <x v="2"/>
    <x v="3"/>
    <x v="0"/>
    <x v="0"/>
  </r>
  <r>
    <x v="599"/>
    <x v="0"/>
    <x v="0"/>
    <x v="10"/>
    <x v="0"/>
    <x v="4"/>
    <x v="1"/>
    <x v="2"/>
    <x v="0"/>
    <x v="1"/>
    <x v="1"/>
    <x v="2"/>
    <x v="42"/>
    <x v="0"/>
    <x v="1"/>
  </r>
  <r>
    <x v="600"/>
    <x v="0"/>
    <x v="1"/>
    <x v="1"/>
    <x v="1"/>
    <x v="4"/>
    <x v="2"/>
    <x v="0"/>
    <x v="1"/>
    <x v="2"/>
    <x v="0"/>
    <x v="2"/>
    <x v="38"/>
    <x v="0"/>
    <x v="0"/>
  </r>
  <r>
    <x v="601"/>
    <x v="1"/>
    <x v="1"/>
    <x v="2"/>
    <x v="0"/>
    <x v="5"/>
    <x v="1"/>
    <x v="2"/>
    <x v="1"/>
    <x v="2"/>
    <x v="0"/>
    <x v="2"/>
    <x v="1"/>
    <x v="0"/>
    <x v="0"/>
  </r>
  <r>
    <x v="602"/>
    <x v="1"/>
    <x v="1"/>
    <x v="10"/>
    <x v="0"/>
    <x v="4"/>
    <x v="3"/>
    <x v="0"/>
    <x v="0"/>
    <x v="2"/>
    <x v="2"/>
    <x v="2"/>
    <x v="31"/>
    <x v="0"/>
    <x v="1"/>
  </r>
  <r>
    <x v="603"/>
    <x v="0"/>
    <x v="1"/>
    <x v="10"/>
    <x v="0"/>
    <x v="0"/>
    <x v="4"/>
    <x v="2"/>
    <x v="0"/>
    <x v="0"/>
    <x v="0"/>
    <x v="2"/>
    <x v="11"/>
    <x v="0"/>
    <x v="1"/>
  </r>
  <r>
    <x v="604"/>
    <x v="0"/>
    <x v="1"/>
    <x v="0"/>
    <x v="0"/>
    <x v="3"/>
    <x v="2"/>
    <x v="0"/>
    <x v="0"/>
    <x v="2"/>
    <x v="2"/>
    <x v="2"/>
    <x v="40"/>
    <x v="2"/>
    <x v="0"/>
  </r>
  <r>
    <x v="605"/>
    <x v="1"/>
    <x v="1"/>
    <x v="3"/>
    <x v="0"/>
    <x v="1"/>
    <x v="2"/>
    <x v="2"/>
    <x v="0"/>
    <x v="0"/>
    <x v="2"/>
    <x v="2"/>
    <x v="31"/>
    <x v="0"/>
    <x v="1"/>
  </r>
  <r>
    <x v="606"/>
    <x v="1"/>
    <x v="1"/>
    <x v="0"/>
    <x v="0"/>
    <x v="4"/>
    <x v="0"/>
    <x v="0"/>
    <x v="0"/>
    <x v="0"/>
    <x v="1"/>
    <x v="2"/>
    <x v="4"/>
    <x v="0"/>
    <x v="0"/>
  </r>
  <r>
    <x v="607"/>
    <x v="1"/>
    <x v="0"/>
    <x v="3"/>
    <x v="0"/>
    <x v="2"/>
    <x v="4"/>
    <x v="2"/>
    <x v="0"/>
    <x v="4"/>
    <x v="4"/>
    <x v="2"/>
    <x v="30"/>
    <x v="0"/>
    <x v="1"/>
  </r>
  <r>
    <x v="608"/>
    <x v="0"/>
    <x v="1"/>
    <x v="10"/>
    <x v="0"/>
    <x v="1"/>
    <x v="3"/>
    <x v="0"/>
    <x v="0"/>
    <x v="2"/>
    <x v="2"/>
    <x v="2"/>
    <x v="31"/>
    <x v="0"/>
    <x v="1"/>
  </r>
  <r>
    <x v="609"/>
    <x v="0"/>
    <x v="1"/>
    <x v="3"/>
    <x v="0"/>
    <x v="3"/>
    <x v="0"/>
    <x v="2"/>
    <x v="1"/>
    <x v="1"/>
    <x v="0"/>
    <x v="2"/>
    <x v="1"/>
    <x v="0"/>
    <x v="0"/>
  </r>
  <r>
    <x v="610"/>
    <x v="0"/>
    <x v="1"/>
    <x v="10"/>
    <x v="0"/>
    <x v="0"/>
    <x v="1"/>
    <x v="0"/>
    <x v="0"/>
    <x v="1"/>
    <x v="1"/>
    <x v="2"/>
    <x v="20"/>
    <x v="0"/>
    <x v="0"/>
  </r>
  <r>
    <x v="611"/>
    <x v="0"/>
    <x v="0"/>
    <x v="2"/>
    <x v="0"/>
    <x v="3"/>
    <x v="0"/>
    <x v="4"/>
    <x v="0"/>
    <x v="1"/>
    <x v="3"/>
    <x v="2"/>
    <x v="17"/>
    <x v="0"/>
    <x v="1"/>
  </r>
  <r>
    <x v="612"/>
    <x v="1"/>
    <x v="0"/>
    <x v="1"/>
    <x v="1"/>
    <x v="3"/>
    <x v="3"/>
    <x v="1"/>
    <x v="0"/>
    <x v="2"/>
    <x v="2"/>
    <x v="2"/>
    <x v="40"/>
    <x v="2"/>
    <x v="0"/>
  </r>
  <r>
    <x v="613"/>
    <x v="1"/>
    <x v="1"/>
    <x v="15"/>
    <x v="2"/>
    <x v="0"/>
    <x v="1"/>
    <x v="2"/>
    <x v="0"/>
    <x v="3"/>
    <x v="2"/>
    <x v="2"/>
    <x v="12"/>
    <x v="0"/>
    <x v="1"/>
  </r>
  <r>
    <x v="614"/>
    <x v="0"/>
    <x v="0"/>
    <x v="11"/>
    <x v="2"/>
    <x v="1"/>
    <x v="1"/>
    <x v="2"/>
    <x v="0"/>
    <x v="3"/>
    <x v="3"/>
    <x v="2"/>
    <x v="12"/>
    <x v="0"/>
    <x v="0"/>
  </r>
  <r>
    <x v="615"/>
    <x v="1"/>
    <x v="0"/>
    <x v="10"/>
    <x v="0"/>
    <x v="5"/>
    <x v="4"/>
    <x v="0"/>
    <x v="1"/>
    <x v="0"/>
    <x v="0"/>
    <x v="2"/>
    <x v="15"/>
    <x v="0"/>
    <x v="1"/>
  </r>
  <r>
    <x v="616"/>
    <x v="1"/>
    <x v="0"/>
    <x v="2"/>
    <x v="0"/>
    <x v="5"/>
    <x v="4"/>
    <x v="0"/>
    <x v="0"/>
    <x v="0"/>
    <x v="3"/>
    <x v="2"/>
    <x v="15"/>
    <x v="0"/>
    <x v="0"/>
  </r>
  <r>
    <x v="617"/>
    <x v="0"/>
    <x v="1"/>
    <x v="0"/>
    <x v="0"/>
    <x v="5"/>
    <x v="2"/>
    <x v="0"/>
    <x v="0"/>
    <x v="2"/>
    <x v="1"/>
    <x v="2"/>
    <x v="20"/>
    <x v="0"/>
    <x v="1"/>
  </r>
  <r>
    <x v="618"/>
    <x v="1"/>
    <x v="0"/>
    <x v="6"/>
    <x v="1"/>
    <x v="1"/>
    <x v="3"/>
    <x v="1"/>
    <x v="1"/>
    <x v="2"/>
    <x v="0"/>
    <x v="2"/>
    <x v="38"/>
    <x v="0"/>
    <x v="0"/>
  </r>
  <r>
    <x v="619"/>
    <x v="1"/>
    <x v="0"/>
    <x v="0"/>
    <x v="0"/>
    <x v="3"/>
    <x v="2"/>
    <x v="0"/>
    <x v="0"/>
    <x v="1"/>
    <x v="2"/>
    <x v="2"/>
    <x v="25"/>
    <x v="2"/>
    <x v="0"/>
  </r>
  <r>
    <x v="620"/>
    <x v="0"/>
    <x v="0"/>
    <x v="11"/>
    <x v="2"/>
    <x v="5"/>
    <x v="1"/>
    <x v="2"/>
    <x v="0"/>
    <x v="3"/>
    <x v="1"/>
    <x v="2"/>
    <x v="3"/>
    <x v="0"/>
    <x v="1"/>
  </r>
  <r>
    <x v="621"/>
    <x v="0"/>
    <x v="1"/>
    <x v="3"/>
    <x v="0"/>
    <x v="5"/>
    <x v="0"/>
    <x v="4"/>
    <x v="0"/>
    <x v="1"/>
    <x v="3"/>
    <x v="2"/>
    <x v="7"/>
    <x v="0"/>
    <x v="0"/>
  </r>
  <r>
    <x v="622"/>
    <x v="0"/>
    <x v="1"/>
    <x v="10"/>
    <x v="0"/>
    <x v="2"/>
    <x v="0"/>
    <x v="2"/>
    <x v="0"/>
    <x v="1"/>
    <x v="1"/>
    <x v="2"/>
    <x v="15"/>
    <x v="0"/>
    <x v="0"/>
  </r>
  <r>
    <x v="623"/>
    <x v="0"/>
    <x v="0"/>
    <x v="3"/>
    <x v="0"/>
    <x v="5"/>
    <x v="1"/>
    <x v="2"/>
    <x v="0"/>
    <x v="1"/>
    <x v="3"/>
    <x v="2"/>
    <x v="10"/>
    <x v="0"/>
    <x v="0"/>
  </r>
  <r>
    <x v="624"/>
    <x v="1"/>
    <x v="0"/>
    <x v="3"/>
    <x v="0"/>
    <x v="3"/>
    <x v="1"/>
    <x v="0"/>
    <x v="1"/>
    <x v="2"/>
    <x v="0"/>
    <x v="2"/>
    <x v="40"/>
    <x v="2"/>
    <x v="1"/>
  </r>
  <r>
    <x v="625"/>
    <x v="0"/>
    <x v="1"/>
    <x v="10"/>
    <x v="0"/>
    <x v="1"/>
    <x v="4"/>
    <x v="4"/>
    <x v="0"/>
    <x v="2"/>
    <x v="3"/>
    <x v="2"/>
    <x v="41"/>
    <x v="1"/>
    <x v="0"/>
  </r>
  <r>
    <x v="626"/>
    <x v="0"/>
    <x v="0"/>
    <x v="10"/>
    <x v="0"/>
    <x v="3"/>
    <x v="1"/>
    <x v="0"/>
    <x v="0"/>
    <x v="2"/>
    <x v="2"/>
    <x v="2"/>
    <x v="19"/>
    <x v="2"/>
    <x v="0"/>
  </r>
  <r>
    <x v="627"/>
    <x v="0"/>
    <x v="0"/>
    <x v="10"/>
    <x v="0"/>
    <x v="1"/>
    <x v="4"/>
    <x v="4"/>
    <x v="0"/>
    <x v="2"/>
    <x v="3"/>
    <x v="2"/>
    <x v="41"/>
    <x v="1"/>
    <x v="0"/>
  </r>
  <r>
    <x v="628"/>
    <x v="1"/>
    <x v="1"/>
    <x v="2"/>
    <x v="0"/>
    <x v="1"/>
    <x v="1"/>
    <x v="2"/>
    <x v="1"/>
    <x v="1"/>
    <x v="3"/>
    <x v="2"/>
    <x v="36"/>
    <x v="0"/>
    <x v="1"/>
  </r>
  <r>
    <x v="629"/>
    <x v="0"/>
    <x v="0"/>
    <x v="14"/>
    <x v="0"/>
    <x v="0"/>
    <x v="4"/>
    <x v="0"/>
    <x v="0"/>
    <x v="0"/>
    <x v="0"/>
    <x v="2"/>
    <x v="11"/>
    <x v="0"/>
    <x v="0"/>
  </r>
  <r>
    <x v="630"/>
    <x v="0"/>
    <x v="1"/>
    <x v="0"/>
    <x v="0"/>
    <x v="3"/>
    <x v="2"/>
    <x v="0"/>
    <x v="1"/>
    <x v="2"/>
    <x v="3"/>
    <x v="2"/>
    <x v="25"/>
    <x v="2"/>
    <x v="0"/>
  </r>
  <r>
    <x v="631"/>
    <x v="1"/>
    <x v="1"/>
    <x v="3"/>
    <x v="0"/>
    <x v="2"/>
    <x v="1"/>
    <x v="2"/>
    <x v="0"/>
    <x v="4"/>
    <x v="1"/>
    <x v="2"/>
    <x v="20"/>
    <x v="0"/>
    <x v="0"/>
  </r>
  <r>
    <x v="632"/>
    <x v="1"/>
    <x v="0"/>
    <x v="2"/>
    <x v="0"/>
    <x v="5"/>
    <x v="4"/>
    <x v="0"/>
    <x v="0"/>
    <x v="0"/>
    <x v="3"/>
    <x v="2"/>
    <x v="28"/>
    <x v="0"/>
    <x v="0"/>
  </r>
  <r>
    <x v="633"/>
    <x v="0"/>
    <x v="0"/>
    <x v="12"/>
    <x v="2"/>
    <x v="0"/>
    <x v="0"/>
    <x v="4"/>
    <x v="0"/>
    <x v="2"/>
    <x v="0"/>
    <x v="2"/>
    <x v="12"/>
    <x v="0"/>
    <x v="1"/>
  </r>
  <r>
    <x v="634"/>
    <x v="0"/>
    <x v="1"/>
    <x v="10"/>
    <x v="0"/>
    <x v="1"/>
    <x v="0"/>
    <x v="4"/>
    <x v="1"/>
    <x v="2"/>
    <x v="3"/>
    <x v="2"/>
    <x v="29"/>
    <x v="1"/>
    <x v="0"/>
  </r>
  <r>
    <x v="635"/>
    <x v="1"/>
    <x v="0"/>
    <x v="1"/>
    <x v="1"/>
    <x v="4"/>
    <x v="2"/>
    <x v="0"/>
    <x v="1"/>
    <x v="2"/>
    <x v="0"/>
    <x v="2"/>
    <x v="38"/>
    <x v="0"/>
    <x v="0"/>
  </r>
  <r>
    <x v="636"/>
    <x v="1"/>
    <x v="0"/>
    <x v="7"/>
    <x v="2"/>
    <x v="5"/>
    <x v="1"/>
    <x v="2"/>
    <x v="0"/>
    <x v="4"/>
    <x v="2"/>
    <x v="2"/>
    <x v="1"/>
    <x v="0"/>
    <x v="1"/>
  </r>
  <r>
    <x v="637"/>
    <x v="1"/>
    <x v="1"/>
    <x v="0"/>
    <x v="0"/>
    <x v="3"/>
    <x v="2"/>
    <x v="0"/>
    <x v="1"/>
    <x v="2"/>
    <x v="3"/>
    <x v="2"/>
    <x v="25"/>
    <x v="2"/>
    <x v="0"/>
  </r>
  <r>
    <x v="638"/>
    <x v="1"/>
    <x v="1"/>
    <x v="3"/>
    <x v="0"/>
    <x v="3"/>
    <x v="4"/>
    <x v="4"/>
    <x v="0"/>
    <x v="2"/>
    <x v="2"/>
    <x v="2"/>
    <x v="50"/>
    <x v="1"/>
    <x v="1"/>
  </r>
  <r>
    <x v="639"/>
    <x v="0"/>
    <x v="1"/>
    <x v="11"/>
    <x v="2"/>
    <x v="4"/>
    <x v="4"/>
    <x v="4"/>
    <x v="0"/>
    <x v="4"/>
    <x v="3"/>
    <x v="2"/>
    <x v="27"/>
    <x v="1"/>
    <x v="0"/>
  </r>
  <r>
    <x v="640"/>
    <x v="0"/>
    <x v="0"/>
    <x v="10"/>
    <x v="0"/>
    <x v="4"/>
    <x v="1"/>
    <x v="2"/>
    <x v="0"/>
    <x v="2"/>
    <x v="1"/>
    <x v="2"/>
    <x v="16"/>
    <x v="0"/>
    <x v="1"/>
  </r>
  <r>
    <x v="641"/>
    <x v="0"/>
    <x v="1"/>
    <x v="14"/>
    <x v="0"/>
    <x v="5"/>
    <x v="0"/>
    <x v="4"/>
    <x v="0"/>
    <x v="2"/>
    <x v="4"/>
    <x v="2"/>
    <x v="46"/>
    <x v="1"/>
    <x v="0"/>
  </r>
  <r>
    <x v="642"/>
    <x v="0"/>
    <x v="0"/>
    <x v="3"/>
    <x v="0"/>
    <x v="1"/>
    <x v="1"/>
    <x v="2"/>
    <x v="0"/>
    <x v="2"/>
    <x v="2"/>
    <x v="2"/>
    <x v="5"/>
    <x v="0"/>
    <x v="1"/>
  </r>
  <r>
    <x v="643"/>
    <x v="0"/>
    <x v="0"/>
    <x v="3"/>
    <x v="0"/>
    <x v="1"/>
    <x v="4"/>
    <x v="2"/>
    <x v="0"/>
    <x v="0"/>
    <x v="1"/>
    <x v="2"/>
    <x v="11"/>
    <x v="0"/>
    <x v="1"/>
  </r>
  <r>
    <x v="644"/>
    <x v="0"/>
    <x v="0"/>
    <x v="10"/>
    <x v="0"/>
    <x v="2"/>
    <x v="0"/>
    <x v="0"/>
    <x v="0"/>
    <x v="4"/>
    <x v="4"/>
    <x v="2"/>
    <x v="3"/>
    <x v="0"/>
    <x v="0"/>
  </r>
  <r>
    <x v="645"/>
    <x v="1"/>
    <x v="0"/>
    <x v="10"/>
    <x v="0"/>
    <x v="3"/>
    <x v="4"/>
    <x v="0"/>
    <x v="0"/>
    <x v="0"/>
    <x v="0"/>
    <x v="2"/>
    <x v="32"/>
    <x v="0"/>
    <x v="0"/>
  </r>
  <r>
    <x v="646"/>
    <x v="1"/>
    <x v="0"/>
    <x v="10"/>
    <x v="0"/>
    <x v="5"/>
    <x v="4"/>
    <x v="0"/>
    <x v="1"/>
    <x v="0"/>
    <x v="3"/>
    <x v="2"/>
    <x v="15"/>
    <x v="0"/>
    <x v="0"/>
  </r>
  <r>
    <x v="647"/>
    <x v="1"/>
    <x v="1"/>
    <x v="0"/>
    <x v="0"/>
    <x v="3"/>
    <x v="2"/>
    <x v="0"/>
    <x v="0"/>
    <x v="2"/>
    <x v="2"/>
    <x v="2"/>
    <x v="23"/>
    <x v="0"/>
    <x v="0"/>
  </r>
  <r>
    <x v="648"/>
    <x v="1"/>
    <x v="0"/>
    <x v="3"/>
    <x v="0"/>
    <x v="4"/>
    <x v="0"/>
    <x v="4"/>
    <x v="1"/>
    <x v="1"/>
    <x v="1"/>
    <x v="2"/>
    <x v="7"/>
    <x v="0"/>
    <x v="1"/>
  </r>
  <r>
    <x v="649"/>
    <x v="1"/>
    <x v="0"/>
    <x v="3"/>
    <x v="0"/>
    <x v="3"/>
    <x v="0"/>
    <x v="2"/>
    <x v="1"/>
    <x v="1"/>
    <x v="1"/>
    <x v="2"/>
    <x v="13"/>
    <x v="0"/>
    <x v="1"/>
  </r>
  <r>
    <x v="650"/>
    <x v="1"/>
    <x v="0"/>
    <x v="3"/>
    <x v="0"/>
    <x v="2"/>
    <x v="4"/>
    <x v="4"/>
    <x v="0"/>
    <x v="2"/>
    <x v="4"/>
    <x v="2"/>
    <x v="41"/>
    <x v="1"/>
    <x v="1"/>
  </r>
  <r>
    <x v="651"/>
    <x v="1"/>
    <x v="1"/>
    <x v="10"/>
    <x v="0"/>
    <x v="3"/>
    <x v="1"/>
    <x v="2"/>
    <x v="1"/>
    <x v="2"/>
    <x v="3"/>
    <x v="2"/>
    <x v="21"/>
    <x v="0"/>
    <x v="1"/>
  </r>
  <r>
    <x v="652"/>
    <x v="0"/>
    <x v="1"/>
    <x v="3"/>
    <x v="0"/>
    <x v="2"/>
    <x v="1"/>
    <x v="2"/>
    <x v="1"/>
    <x v="4"/>
    <x v="2"/>
    <x v="2"/>
    <x v="12"/>
    <x v="0"/>
    <x v="0"/>
  </r>
  <r>
    <x v="653"/>
    <x v="1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0"/>
    <x v="3"/>
    <x v="2"/>
    <x v="0"/>
    <x v="1"/>
    <x v="2"/>
    <x v="3"/>
    <x v="2"/>
    <x v="23"/>
    <x v="0"/>
    <x v="1"/>
  </r>
  <r>
    <x v="655"/>
    <x v="0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0"/>
    <x v="4"/>
    <x v="2"/>
    <x v="2"/>
    <x v="1"/>
    <x v="2"/>
    <x v="2"/>
    <x v="2"/>
    <x v="5"/>
    <x v="0"/>
    <x v="0"/>
  </r>
  <r>
    <x v="657"/>
    <x v="0"/>
    <x v="1"/>
    <x v="3"/>
    <x v="0"/>
    <x v="0"/>
    <x v="1"/>
    <x v="0"/>
    <x v="0"/>
    <x v="1"/>
    <x v="0"/>
    <x v="2"/>
    <x v="20"/>
    <x v="0"/>
    <x v="0"/>
  </r>
  <r>
    <x v="658"/>
    <x v="1"/>
    <x v="1"/>
    <x v="14"/>
    <x v="0"/>
    <x v="4"/>
    <x v="0"/>
    <x v="0"/>
    <x v="0"/>
    <x v="1"/>
    <x v="1"/>
    <x v="2"/>
    <x v="13"/>
    <x v="0"/>
    <x v="1"/>
  </r>
  <r>
    <x v="659"/>
    <x v="1"/>
    <x v="0"/>
    <x v="10"/>
    <x v="0"/>
    <x v="5"/>
    <x v="0"/>
    <x v="4"/>
    <x v="0"/>
    <x v="2"/>
    <x v="4"/>
    <x v="2"/>
    <x v="18"/>
    <x v="1"/>
    <x v="0"/>
  </r>
  <r>
    <x v="660"/>
    <x v="0"/>
    <x v="0"/>
    <x v="10"/>
    <x v="0"/>
    <x v="0"/>
    <x v="4"/>
    <x v="2"/>
    <x v="0"/>
    <x v="0"/>
    <x v="1"/>
    <x v="2"/>
    <x v="4"/>
    <x v="0"/>
    <x v="1"/>
  </r>
  <r>
    <x v="661"/>
    <x v="1"/>
    <x v="1"/>
    <x v="0"/>
    <x v="0"/>
    <x v="3"/>
    <x v="2"/>
    <x v="0"/>
    <x v="1"/>
    <x v="2"/>
    <x v="0"/>
    <x v="2"/>
    <x v="26"/>
    <x v="2"/>
    <x v="1"/>
  </r>
  <r>
    <x v="662"/>
    <x v="1"/>
    <x v="0"/>
    <x v="11"/>
    <x v="2"/>
    <x v="0"/>
    <x v="1"/>
    <x v="2"/>
    <x v="1"/>
    <x v="4"/>
    <x v="3"/>
    <x v="2"/>
    <x v="20"/>
    <x v="0"/>
    <x v="0"/>
  </r>
  <r>
    <x v="663"/>
    <x v="0"/>
    <x v="0"/>
    <x v="3"/>
    <x v="0"/>
    <x v="2"/>
    <x v="4"/>
    <x v="2"/>
    <x v="0"/>
    <x v="1"/>
    <x v="0"/>
    <x v="2"/>
    <x v="15"/>
    <x v="0"/>
    <x v="0"/>
  </r>
  <r>
    <x v="664"/>
    <x v="0"/>
    <x v="0"/>
    <x v="2"/>
    <x v="0"/>
    <x v="3"/>
    <x v="4"/>
    <x v="0"/>
    <x v="0"/>
    <x v="0"/>
    <x v="3"/>
    <x v="2"/>
    <x v="8"/>
    <x v="0"/>
    <x v="1"/>
  </r>
  <r>
    <x v="665"/>
    <x v="0"/>
    <x v="1"/>
    <x v="12"/>
    <x v="2"/>
    <x v="0"/>
    <x v="4"/>
    <x v="4"/>
    <x v="0"/>
    <x v="3"/>
    <x v="0"/>
    <x v="2"/>
    <x v="8"/>
    <x v="0"/>
    <x v="0"/>
  </r>
  <r>
    <x v="666"/>
    <x v="0"/>
    <x v="0"/>
    <x v="10"/>
    <x v="0"/>
    <x v="0"/>
    <x v="1"/>
    <x v="0"/>
    <x v="0"/>
    <x v="1"/>
    <x v="1"/>
    <x v="2"/>
    <x v="30"/>
    <x v="0"/>
    <x v="1"/>
  </r>
  <r>
    <x v="667"/>
    <x v="0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0"/>
    <x v="3"/>
    <x v="4"/>
    <x v="2"/>
    <x v="0"/>
    <x v="0"/>
    <x v="0"/>
    <x v="2"/>
    <x v="8"/>
    <x v="0"/>
    <x v="0"/>
  </r>
  <r>
    <x v="669"/>
    <x v="0"/>
    <x v="0"/>
    <x v="10"/>
    <x v="0"/>
    <x v="4"/>
    <x v="2"/>
    <x v="2"/>
    <x v="0"/>
    <x v="2"/>
    <x v="2"/>
    <x v="2"/>
    <x v="5"/>
    <x v="0"/>
    <x v="0"/>
  </r>
  <r>
    <x v="670"/>
    <x v="0"/>
    <x v="1"/>
    <x v="3"/>
    <x v="0"/>
    <x v="4"/>
    <x v="1"/>
    <x v="2"/>
    <x v="0"/>
    <x v="1"/>
    <x v="4"/>
    <x v="2"/>
    <x v="14"/>
    <x v="0"/>
    <x v="0"/>
  </r>
  <r>
    <x v="671"/>
    <x v="1"/>
    <x v="0"/>
    <x v="10"/>
    <x v="0"/>
    <x v="0"/>
    <x v="4"/>
    <x v="2"/>
    <x v="0"/>
    <x v="0"/>
    <x v="1"/>
    <x v="2"/>
    <x v="4"/>
    <x v="0"/>
    <x v="1"/>
  </r>
  <r>
    <x v="672"/>
    <x v="1"/>
    <x v="0"/>
    <x v="0"/>
    <x v="0"/>
    <x v="3"/>
    <x v="2"/>
    <x v="0"/>
    <x v="0"/>
    <x v="2"/>
    <x v="2"/>
    <x v="2"/>
    <x v="25"/>
    <x v="2"/>
    <x v="0"/>
  </r>
  <r>
    <x v="673"/>
    <x v="1"/>
    <x v="0"/>
    <x v="3"/>
    <x v="0"/>
    <x v="5"/>
    <x v="4"/>
    <x v="2"/>
    <x v="0"/>
    <x v="0"/>
    <x v="1"/>
    <x v="2"/>
    <x v="11"/>
    <x v="0"/>
    <x v="1"/>
  </r>
  <r>
    <x v="674"/>
    <x v="0"/>
    <x v="0"/>
    <x v="1"/>
    <x v="1"/>
    <x v="4"/>
    <x v="2"/>
    <x v="0"/>
    <x v="0"/>
    <x v="2"/>
    <x v="3"/>
    <x v="2"/>
    <x v="28"/>
    <x v="0"/>
    <x v="0"/>
  </r>
  <r>
    <x v="675"/>
    <x v="0"/>
    <x v="1"/>
    <x v="11"/>
    <x v="2"/>
    <x v="1"/>
    <x v="0"/>
    <x v="4"/>
    <x v="0"/>
    <x v="3"/>
    <x v="0"/>
    <x v="2"/>
    <x v="3"/>
    <x v="0"/>
    <x v="0"/>
  </r>
  <r>
    <x v="676"/>
    <x v="0"/>
    <x v="1"/>
    <x v="0"/>
    <x v="0"/>
    <x v="4"/>
    <x v="1"/>
    <x v="1"/>
    <x v="0"/>
    <x v="1"/>
    <x v="0"/>
    <x v="2"/>
    <x v="15"/>
    <x v="0"/>
    <x v="0"/>
  </r>
  <r>
    <x v="677"/>
    <x v="0"/>
    <x v="1"/>
    <x v="10"/>
    <x v="0"/>
    <x v="5"/>
    <x v="4"/>
    <x v="0"/>
    <x v="1"/>
    <x v="0"/>
    <x v="0"/>
    <x v="2"/>
    <x v="15"/>
    <x v="0"/>
    <x v="0"/>
  </r>
  <r>
    <x v="678"/>
    <x v="0"/>
    <x v="1"/>
    <x v="2"/>
    <x v="0"/>
    <x v="2"/>
    <x v="0"/>
    <x v="4"/>
    <x v="1"/>
    <x v="2"/>
    <x v="1"/>
    <x v="0"/>
    <x v="24"/>
    <x v="1"/>
    <x v="0"/>
  </r>
  <r>
    <x v="679"/>
    <x v="0"/>
    <x v="1"/>
    <x v="10"/>
    <x v="0"/>
    <x v="5"/>
    <x v="0"/>
    <x v="4"/>
    <x v="0"/>
    <x v="2"/>
    <x v="4"/>
    <x v="2"/>
    <x v="2"/>
    <x v="1"/>
    <x v="0"/>
  </r>
  <r>
    <x v="680"/>
    <x v="0"/>
    <x v="0"/>
    <x v="10"/>
    <x v="0"/>
    <x v="3"/>
    <x v="1"/>
    <x v="0"/>
    <x v="1"/>
    <x v="1"/>
    <x v="3"/>
    <x v="2"/>
    <x v="6"/>
    <x v="0"/>
    <x v="0"/>
  </r>
  <r>
    <x v="681"/>
    <x v="1"/>
    <x v="0"/>
    <x v="2"/>
    <x v="0"/>
    <x v="5"/>
    <x v="4"/>
    <x v="0"/>
    <x v="1"/>
    <x v="0"/>
    <x v="0"/>
    <x v="2"/>
    <x v="15"/>
    <x v="0"/>
    <x v="0"/>
  </r>
  <r>
    <x v="682"/>
    <x v="0"/>
    <x v="1"/>
    <x v="6"/>
    <x v="1"/>
    <x v="1"/>
    <x v="3"/>
    <x v="1"/>
    <x v="1"/>
    <x v="2"/>
    <x v="0"/>
    <x v="2"/>
    <x v="31"/>
    <x v="0"/>
    <x v="0"/>
  </r>
  <r>
    <x v="683"/>
    <x v="0"/>
    <x v="0"/>
    <x v="8"/>
    <x v="2"/>
    <x v="2"/>
    <x v="1"/>
    <x v="2"/>
    <x v="0"/>
    <x v="4"/>
    <x v="1"/>
    <x v="2"/>
    <x v="8"/>
    <x v="0"/>
    <x v="0"/>
  </r>
  <r>
    <x v="684"/>
    <x v="1"/>
    <x v="0"/>
    <x v="10"/>
    <x v="0"/>
    <x v="5"/>
    <x v="0"/>
    <x v="0"/>
    <x v="1"/>
    <x v="2"/>
    <x v="0"/>
    <x v="2"/>
    <x v="0"/>
    <x v="0"/>
    <x v="0"/>
  </r>
  <r>
    <x v="685"/>
    <x v="1"/>
    <x v="0"/>
    <x v="10"/>
    <x v="0"/>
    <x v="1"/>
    <x v="4"/>
    <x v="4"/>
    <x v="0"/>
    <x v="2"/>
    <x v="2"/>
    <x v="2"/>
    <x v="39"/>
    <x v="0"/>
    <x v="1"/>
  </r>
  <r>
    <x v="686"/>
    <x v="0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0"/>
    <x v="3"/>
    <x v="0"/>
    <x v="0"/>
    <x v="1"/>
    <x v="2"/>
    <x v="0"/>
    <x v="2"/>
    <x v="25"/>
    <x v="2"/>
    <x v="0"/>
  </r>
  <r>
    <x v="689"/>
    <x v="0"/>
    <x v="1"/>
    <x v="1"/>
    <x v="1"/>
    <x v="3"/>
    <x v="2"/>
    <x v="0"/>
    <x v="0"/>
    <x v="2"/>
    <x v="2"/>
    <x v="2"/>
    <x v="22"/>
    <x v="2"/>
    <x v="0"/>
  </r>
  <r>
    <x v="690"/>
    <x v="1"/>
    <x v="0"/>
    <x v="12"/>
    <x v="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0"/>
    <x v="2"/>
    <x v="17"/>
    <x v="0"/>
    <x v="1"/>
  </r>
  <r>
    <x v="692"/>
    <x v="0"/>
    <x v="1"/>
    <x v="3"/>
    <x v="0"/>
    <x v="0"/>
    <x v="0"/>
    <x v="2"/>
    <x v="0"/>
    <x v="1"/>
    <x v="1"/>
    <x v="2"/>
    <x v="20"/>
    <x v="0"/>
    <x v="1"/>
  </r>
  <r>
    <x v="693"/>
    <x v="1"/>
    <x v="0"/>
    <x v="10"/>
    <x v="0"/>
    <x v="5"/>
    <x v="0"/>
    <x v="0"/>
    <x v="1"/>
    <x v="2"/>
    <x v="0"/>
    <x v="2"/>
    <x v="3"/>
    <x v="0"/>
    <x v="1"/>
  </r>
  <r>
    <x v="694"/>
    <x v="1"/>
    <x v="0"/>
    <x v="2"/>
    <x v="0"/>
    <x v="1"/>
    <x v="4"/>
    <x v="2"/>
    <x v="1"/>
    <x v="0"/>
    <x v="0"/>
    <x v="2"/>
    <x v="4"/>
    <x v="0"/>
    <x v="1"/>
  </r>
  <r>
    <x v="695"/>
    <x v="0"/>
    <x v="1"/>
    <x v="2"/>
    <x v="0"/>
    <x v="2"/>
    <x v="1"/>
    <x v="2"/>
    <x v="0"/>
    <x v="2"/>
    <x v="0"/>
    <x v="2"/>
    <x v="20"/>
    <x v="0"/>
    <x v="0"/>
  </r>
  <r>
    <x v="696"/>
    <x v="1"/>
    <x v="1"/>
    <x v="10"/>
    <x v="0"/>
    <x v="3"/>
    <x v="1"/>
    <x v="2"/>
    <x v="1"/>
    <x v="2"/>
    <x v="3"/>
    <x v="2"/>
    <x v="25"/>
    <x v="2"/>
    <x v="0"/>
  </r>
  <r>
    <x v="697"/>
    <x v="0"/>
    <x v="0"/>
    <x v="1"/>
    <x v="1"/>
    <x v="3"/>
    <x v="3"/>
    <x v="1"/>
    <x v="1"/>
    <x v="2"/>
    <x v="0"/>
    <x v="2"/>
    <x v="26"/>
    <x v="2"/>
    <x v="0"/>
  </r>
  <r>
    <x v="698"/>
    <x v="0"/>
    <x v="1"/>
    <x v="6"/>
    <x v="1"/>
    <x v="4"/>
    <x v="3"/>
    <x v="1"/>
    <x v="0"/>
    <x v="2"/>
    <x v="3"/>
    <x v="2"/>
    <x v="38"/>
    <x v="0"/>
    <x v="0"/>
  </r>
  <r>
    <x v="699"/>
    <x v="1"/>
    <x v="1"/>
    <x v="8"/>
    <x v="2"/>
    <x v="3"/>
    <x v="1"/>
    <x v="2"/>
    <x v="1"/>
    <x v="2"/>
    <x v="0"/>
    <x v="2"/>
    <x v="1"/>
    <x v="0"/>
    <x v="1"/>
  </r>
  <r>
    <x v="700"/>
    <x v="0"/>
    <x v="0"/>
    <x v="3"/>
    <x v="0"/>
    <x v="5"/>
    <x v="0"/>
    <x v="4"/>
    <x v="0"/>
    <x v="1"/>
    <x v="3"/>
    <x v="2"/>
    <x v="14"/>
    <x v="0"/>
    <x v="0"/>
  </r>
  <r>
    <x v="701"/>
    <x v="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2"/>
    <x v="0"/>
    <x v="2"/>
    <x v="2"/>
    <x v="0"/>
    <x v="3"/>
    <x v="2"/>
    <x v="2"/>
    <x v="30"/>
    <x v="0"/>
    <x v="1"/>
  </r>
  <r>
    <x v="703"/>
    <x v="1"/>
    <x v="0"/>
    <x v="14"/>
    <x v="0"/>
    <x v="3"/>
    <x v="4"/>
    <x v="0"/>
    <x v="0"/>
    <x v="0"/>
    <x v="3"/>
    <x v="2"/>
    <x v="6"/>
    <x v="0"/>
    <x v="0"/>
  </r>
  <r>
    <x v="704"/>
    <x v="1"/>
    <x v="0"/>
    <x v="0"/>
    <x v="0"/>
    <x v="3"/>
    <x v="0"/>
    <x v="2"/>
    <x v="0"/>
    <x v="1"/>
    <x v="1"/>
    <x v="2"/>
    <x v="0"/>
    <x v="0"/>
    <x v="1"/>
  </r>
  <r>
    <x v="705"/>
    <x v="0"/>
    <x v="0"/>
    <x v="3"/>
    <x v="0"/>
    <x v="5"/>
    <x v="0"/>
    <x v="4"/>
    <x v="0"/>
    <x v="1"/>
    <x v="4"/>
    <x v="2"/>
    <x v="14"/>
    <x v="0"/>
    <x v="0"/>
  </r>
  <r>
    <x v="706"/>
    <x v="1"/>
    <x v="0"/>
    <x v="10"/>
    <x v="0"/>
    <x v="3"/>
    <x v="1"/>
    <x v="0"/>
    <x v="1"/>
    <x v="1"/>
    <x v="3"/>
    <x v="2"/>
    <x v="6"/>
    <x v="0"/>
    <x v="1"/>
  </r>
  <r>
    <x v="707"/>
    <x v="0"/>
    <x v="0"/>
    <x v="3"/>
    <x v="0"/>
    <x v="0"/>
    <x v="1"/>
    <x v="0"/>
    <x v="0"/>
    <x v="1"/>
    <x v="0"/>
    <x v="2"/>
    <x v="20"/>
    <x v="0"/>
    <x v="1"/>
  </r>
  <r>
    <x v="708"/>
    <x v="0"/>
    <x v="1"/>
    <x v="3"/>
    <x v="0"/>
    <x v="2"/>
    <x v="0"/>
    <x v="4"/>
    <x v="0"/>
    <x v="3"/>
    <x v="4"/>
    <x v="2"/>
    <x v="2"/>
    <x v="1"/>
    <x v="0"/>
  </r>
  <r>
    <x v="709"/>
    <x v="1"/>
    <x v="0"/>
    <x v="3"/>
    <x v="0"/>
    <x v="4"/>
    <x v="0"/>
    <x v="4"/>
    <x v="0"/>
    <x v="1"/>
    <x v="4"/>
    <x v="2"/>
    <x v="14"/>
    <x v="0"/>
    <x v="0"/>
  </r>
  <r>
    <x v="710"/>
    <x v="0"/>
    <x v="1"/>
    <x v="10"/>
    <x v="0"/>
    <x v="3"/>
    <x v="2"/>
    <x v="2"/>
    <x v="0"/>
    <x v="2"/>
    <x v="2"/>
    <x v="2"/>
    <x v="21"/>
    <x v="0"/>
    <x v="1"/>
  </r>
  <r>
    <x v="711"/>
    <x v="0"/>
    <x v="0"/>
    <x v="3"/>
    <x v="0"/>
    <x v="4"/>
    <x v="1"/>
    <x v="2"/>
    <x v="0"/>
    <x v="1"/>
    <x v="4"/>
    <x v="2"/>
    <x v="7"/>
    <x v="0"/>
    <x v="0"/>
  </r>
  <r>
    <x v="712"/>
    <x v="0"/>
    <x v="0"/>
    <x v="0"/>
    <x v="0"/>
    <x v="4"/>
    <x v="2"/>
    <x v="2"/>
    <x v="1"/>
    <x v="2"/>
    <x v="1"/>
    <x v="2"/>
    <x v="14"/>
    <x v="0"/>
    <x v="0"/>
  </r>
  <r>
    <x v="713"/>
    <x v="1"/>
    <x v="0"/>
    <x v="3"/>
    <x v="0"/>
    <x v="4"/>
    <x v="0"/>
    <x v="0"/>
    <x v="0"/>
    <x v="1"/>
    <x v="1"/>
    <x v="2"/>
    <x v="13"/>
    <x v="0"/>
    <x v="0"/>
  </r>
  <r>
    <x v="714"/>
    <x v="0"/>
    <x v="1"/>
    <x v="0"/>
    <x v="0"/>
    <x v="3"/>
    <x v="2"/>
    <x v="0"/>
    <x v="0"/>
    <x v="2"/>
    <x v="2"/>
    <x v="2"/>
    <x v="26"/>
    <x v="2"/>
    <x v="1"/>
  </r>
  <r>
    <x v="715"/>
    <x v="0"/>
    <x v="0"/>
    <x v="10"/>
    <x v="0"/>
    <x v="0"/>
    <x v="4"/>
    <x v="2"/>
    <x v="0"/>
    <x v="0"/>
    <x v="1"/>
    <x v="2"/>
    <x v="34"/>
    <x v="0"/>
    <x v="1"/>
  </r>
  <r>
    <x v="716"/>
    <x v="1"/>
    <x v="0"/>
    <x v="2"/>
    <x v="0"/>
    <x v="3"/>
    <x v="4"/>
    <x v="0"/>
    <x v="1"/>
    <x v="0"/>
    <x v="0"/>
    <x v="2"/>
    <x v="8"/>
    <x v="0"/>
    <x v="0"/>
  </r>
  <r>
    <x v="717"/>
    <x v="1"/>
    <x v="1"/>
    <x v="8"/>
    <x v="2"/>
    <x v="5"/>
    <x v="0"/>
    <x v="4"/>
    <x v="0"/>
    <x v="1"/>
    <x v="3"/>
    <x v="2"/>
    <x v="13"/>
    <x v="0"/>
    <x v="1"/>
  </r>
  <r>
    <x v="718"/>
    <x v="0"/>
    <x v="1"/>
    <x v="3"/>
    <x v="0"/>
    <x v="5"/>
    <x v="4"/>
    <x v="2"/>
    <x v="0"/>
    <x v="0"/>
    <x v="1"/>
    <x v="2"/>
    <x v="4"/>
    <x v="0"/>
    <x v="1"/>
  </r>
  <r>
    <x v="719"/>
    <x v="0"/>
    <x v="0"/>
    <x v="3"/>
    <x v="0"/>
    <x v="2"/>
    <x v="4"/>
    <x v="2"/>
    <x v="0"/>
    <x v="2"/>
    <x v="0"/>
    <x v="2"/>
    <x v="34"/>
    <x v="0"/>
    <x v="0"/>
  </r>
  <r>
    <x v="720"/>
    <x v="1"/>
    <x v="0"/>
    <x v="0"/>
    <x v="0"/>
    <x v="2"/>
    <x v="2"/>
    <x v="2"/>
    <x v="1"/>
    <x v="4"/>
    <x v="1"/>
    <x v="2"/>
    <x v="2"/>
    <x v="1"/>
    <x v="1"/>
  </r>
  <r>
    <x v="721"/>
    <x v="1"/>
    <x v="1"/>
    <x v="15"/>
    <x v="2"/>
    <x v="5"/>
    <x v="0"/>
    <x v="4"/>
    <x v="0"/>
    <x v="3"/>
    <x v="2"/>
    <x v="2"/>
    <x v="0"/>
    <x v="0"/>
    <x v="1"/>
  </r>
  <r>
    <x v="722"/>
    <x v="1"/>
    <x v="0"/>
    <x v="3"/>
    <x v="0"/>
    <x v="1"/>
    <x v="4"/>
    <x v="4"/>
    <x v="1"/>
    <x v="2"/>
    <x v="3"/>
    <x v="2"/>
    <x v="39"/>
    <x v="0"/>
    <x v="0"/>
  </r>
  <r>
    <x v="723"/>
    <x v="1"/>
    <x v="0"/>
    <x v="2"/>
    <x v="0"/>
    <x v="4"/>
    <x v="3"/>
    <x v="0"/>
    <x v="0"/>
    <x v="2"/>
    <x v="2"/>
    <x v="2"/>
    <x v="38"/>
    <x v="0"/>
    <x v="0"/>
  </r>
  <r>
    <x v="724"/>
    <x v="0"/>
    <x v="1"/>
    <x v="1"/>
    <x v="1"/>
    <x v="4"/>
    <x v="2"/>
    <x v="0"/>
    <x v="0"/>
    <x v="2"/>
    <x v="3"/>
    <x v="2"/>
    <x v="38"/>
    <x v="0"/>
    <x v="0"/>
  </r>
  <r>
    <x v="725"/>
    <x v="0"/>
    <x v="1"/>
    <x v="12"/>
    <x v="2"/>
    <x v="4"/>
    <x v="4"/>
    <x v="4"/>
    <x v="0"/>
    <x v="4"/>
    <x v="0"/>
    <x v="2"/>
    <x v="0"/>
    <x v="0"/>
    <x v="1"/>
  </r>
  <r>
    <x v="726"/>
    <x v="0"/>
    <x v="1"/>
    <x v="6"/>
    <x v="1"/>
    <x v="4"/>
    <x v="2"/>
    <x v="3"/>
    <x v="1"/>
    <x v="2"/>
    <x v="0"/>
    <x v="2"/>
    <x v="39"/>
    <x v="0"/>
    <x v="0"/>
  </r>
  <r>
    <x v="727"/>
    <x v="0"/>
    <x v="1"/>
    <x v="3"/>
    <x v="0"/>
    <x v="0"/>
    <x v="4"/>
    <x v="2"/>
    <x v="0"/>
    <x v="1"/>
    <x v="0"/>
    <x v="2"/>
    <x v="30"/>
    <x v="0"/>
    <x v="1"/>
  </r>
  <r>
    <x v="728"/>
    <x v="0"/>
    <x v="1"/>
    <x v="0"/>
    <x v="0"/>
    <x v="3"/>
    <x v="2"/>
    <x v="0"/>
    <x v="0"/>
    <x v="2"/>
    <x v="2"/>
    <x v="2"/>
    <x v="40"/>
    <x v="2"/>
    <x v="0"/>
  </r>
  <r>
    <x v="729"/>
    <x v="0"/>
    <x v="0"/>
    <x v="10"/>
    <x v="0"/>
    <x v="1"/>
    <x v="0"/>
    <x v="2"/>
    <x v="0"/>
    <x v="1"/>
    <x v="0"/>
    <x v="2"/>
    <x v="28"/>
    <x v="0"/>
    <x v="1"/>
  </r>
  <r>
    <x v="730"/>
    <x v="1"/>
    <x v="0"/>
    <x v="10"/>
    <x v="0"/>
    <x v="5"/>
    <x v="0"/>
    <x v="0"/>
    <x v="0"/>
    <x v="2"/>
    <x v="1"/>
    <x v="2"/>
    <x v="3"/>
    <x v="0"/>
    <x v="1"/>
  </r>
  <r>
    <x v="731"/>
    <x v="0"/>
    <x v="1"/>
    <x v="10"/>
    <x v="0"/>
    <x v="4"/>
    <x v="2"/>
    <x v="2"/>
    <x v="1"/>
    <x v="2"/>
    <x v="3"/>
    <x v="2"/>
    <x v="38"/>
    <x v="0"/>
    <x v="1"/>
  </r>
  <r>
    <x v="732"/>
    <x v="1"/>
    <x v="0"/>
    <x v="10"/>
    <x v="0"/>
    <x v="3"/>
    <x v="4"/>
    <x v="2"/>
    <x v="0"/>
    <x v="1"/>
    <x v="1"/>
    <x v="2"/>
    <x v="13"/>
    <x v="0"/>
    <x v="1"/>
  </r>
  <r>
    <x v="733"/>
    <x v="1"/>
    <x v="1"/>
    <x v="12"/>
    <x v="2"/>
    <x v="0"/>
    <x v="0"/>
    <x v="4"/>
    <x v="1"/>
    <x v="3"/>
    <x v="0"/>
    <x v="2"/>
    <x v="20"/>
    <x v="0"/>
    <x v="0"/>
  </r>
  <r>
    <x v="734"/>
    <x v="1"/>
    <x v="0"/>
    <x v="12"/>
    <x v="2"/>
    <x v="0"/>
    <x v="0"/>
    <x v="4"/>
    <x v="1"/>
    <x v="4"/>
    <x v="0"/>
    <x v="2"/>
    <x v="12"/>
    <x v="0"/>
    <x v="1"/>
  </r>
  <r>
    <x v="735"/>
    <x v="1"/>
    <x v="0"/>
    <x v="1"/>
    <x v="1"/>
    <x v="3"/>
    <x v="1"/>
    <x v="0"/>
    <x v="0"/>
    <x v="1"/>
    <x v="2"/>
    <x v="2"/>
    <x v="22"/>
    <x v="2"/>
    <x v="0"/>
  </r>
  <r>
    <x v="736"/>
    <x v="0"/>
    <x v="1"/>
    <x v="0"/>
    <x v="0"/>
    <x v="3"/>
    <x v="2"/>
    <x v="0"/>
    <x v="0"/>
    <x v="1"/>
    <x v="2"/>
    <x v="2"/>
    <x v="23"/>
    <x v="0"/>
    <x v="0"/>
  </r>
  <r>
    <x v="737"/>
    <x v="0"/>
    <x v="1"/>
    <x v="3"/>
    <x v="0"/>
    <x v="4"/>
    <x v="3"/>
    <x v="0"/>
    <x v="1"/>
    <x v="2"/>
    <x v="3"/>
    <x v="2"/>
    <x v="38"/>
    <x v="0"/>
    <x v="0"/>
  </r>
  <r>
    <x v="738"/>
    <x v="1"/>
    <x v="0"/>
    <x v="0"/>
    <x v="0"/>
    <x v="4"/>
    <x v="1"/>
    <x v="1"/>
    <x v="1"/>
    <x v="1"/>
    <x v="3"/>
    <x v="2"/>
    <x v="15"/>
    <x v="0"/>
    <x v="1"/>
  </r>
  <r>
    <x v="739"/>
    <x v="0"/>
    <x v="0"/>
    <x v="10"/>
    <x v="0"/>
    <x v="4"/>
    <x v="1"/>
    <x v="2"/>
    <x v="0"/>
    <x v="1"/>
    <x v="4"/>
    <x v="2"/>
    <x v="10"/>
    <x v="0"/>
    <x v="0"/>
  </r>
  <r>
    <x v="740"/>
    <x v="0"/>
    <x v="1"/>
    <x v="0"/>
    <x v="0"/>
    <x v="5"/>
    <x v="1"/>
    <x v="1"/>
    <x v="1"/>
    <x v="0"/>
    <x v="0"/>
    <x v="2"/>
    <x v="25"/>
    <x v="2"/>
    <x v="0"/>
  </r>
  <r>
    <x v="741"/>
    <x v="0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2"/>
    <x v="0"/>
    <x v="0"/>
    <x v="4"/>
    <x v="0"/>
    <x v="4"/>
    <x v="2"/>
    <x v="2"/>
    <x v="12"/>
    <x v="0"/>
    <x v="0"/>
  </r>
  <r>
    <x v="744"/>
    <x v="0"/>
    <x v="0"/>
    <x v="3"/>
    <x v="0"/>
    <x v="5"/>
    <x v="1"/>
    <x v="2"/>
    <x v="0"/>
    <x v="1"/>
    <x v="4"/>
    <x v="2"/>
    <x v="16"/>
    <x v="0"/>
    <x v="0"/>
  </r>
  <r>
    <x v="745"/>
    <x v="0"/>
    <x v="1"/>
    <x v="10"/>
    <x v="0"/>
    <x v="5"/>
    <x v="4"/>
    <x v="0"/>
    <x v="0"/>
    <x v="0"/>
    <x v="3"/>
    <x v="2"/>
    <x v="15"/>
    <x v="0"/>
    <x v="1"/>
  </r>
  <r>
    <x v="746"/>
    <x v="0"/>
    <x v="0"/>
    <x v="10"/>
    <x v="0"/>
    <x v="4"/>
    <x v="0"/>
    <x v="4"/>
    <x v="0"/>
    <x v="0"/>
    <x v="4"/>
    <x v="2"/>
    <x v="16"/>
    <x v="0"/>
    <x v="0"/>
  </r>
  <r>
    <x v="747"/>
    <x v="1"/>
    <x v="0"/>
    <x v="3"/>
    <x v="0"/>
    <x v="0"/>
    <x v="0"/>
    <x v="2"/>
    <x v="1"/>
    <x v="1"/>
    <x v="0"/>
    <x v="2"/>
    <x v="20"/>
    <x v="0"/>
    <x v="0"/>
  </r>
  <r>
    <x v="748"/>
    <x v="0"/>
    <x v="1"/>
    <x v="12"/>
    <x v="2"/>
    <x v="4"/>
    <x v="4"/>
    <x v="4"/>
    <x v="0"/>
    <x v="4"/>
    <x v="1"/>
    <x v="2"/>
    <x v="45"/>
    <x v="1"/>
    <x v="0"/>
  </r>
  <r>
    <x v="749"/>
    <x v="0"/>
    <x v="0"/>
    <x v="3"/>
    <x v="0"/>
    <x v="4"/>
    <x v="1"/>
    <x v="2"/>
    <x v="0"/>
    <x v="1"/>
    <x v="1"/>
    <x v="2"/>
    <x v="14"/>
    <x v="0"/>
    <x v="0"/>
  </r>
  <r>
    <x v="750"/>
    <x v="0"/>
    <x v="1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0"/>
    <x v="4"/>
    <x v="2"/>
    <x v="0"/>
    <x v="0"/>
    <x v="1"/>
    <x v="2"/>
    <x v="4"/>
    <x v="0"/>
    <x v="0"/>
  </r>
  <r>
    <x v="752"/>
    <x v="0"/>
    <x v="1"/>
    <x v="10"/>
    <x v="0"/>
    <x v="3"/>
    <x v="1"/>
    <x v="2"/>
    <x v="0"/>
    <x v="2"/>
    <x v="2"/>
    <x v="2"/>
    <x v="21"/>
    <x v="0"/>
    <x v="0"/>
  </r>
  <r>
    <x v="753"/>
    <x v="1"/>
    <x v="0"/>
    <x v="0"/>
    <x v="0"/>
    <x v="3"/>
    <x v="1"/>
    <x v="0"/>
    <x v="1"/>
    <x v="1"/>
    <x v="3"/>
    <x v="2"/>
    <x v="40"/>
    <x v="2"/>
    <x v="0"/>
  </r>
  <r>
    <x v="754"/>
    <x v="0"/>
    <x v="0"/>
    <x v="0"/>
    <x v="0"/>
    <x v="5"/>
    <x v="2"/>
    <x v="2"/>
    <x v="0"/>
    <x v="2"/>
    <x v="2"/>
    <x v="2"/>
    <x v="14"/>
    <x v="0"/>
    <x v="1"/>
  </r>
  <r>
    <x v="755"/>
    <x v="0"/>
    <x v="1"/>
    <x v="10"/>
    <x v="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0"/>
    <x v="1"/>
    <x v="1"/>
    <x v="0"/>
    <x v="2"/>
    <x v="4"/>
    <x v="0"/>
    <x v="1"/>
  </r>
  <r>
    <x v="757"/>
    <x v="1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0"/>
    <x v="2"/>
    <x v="4"/>
    <x v="0"/>
    <x v="1"/>
    <x v="0"/>
    <x v="0"/>
    <x v="2"/>
    <x v="15"/>
    <x v="0"/>
    <x v="0"/>
  </r>
  <r>
    <x v="759"/>
    <x v="1"/>
    <x v="0"/>
    <x v="10"/>
    <x v="0"/>
    <x v="1"/>
    <x v="4"/>
    <x v="2"/>
    <x v="0"/>
    <x v="0"/>
    <x v="1"/>
    <x v="2"/>
    <x v="1"/>
    <x v="0"/>
    <x v="1"/>
  </r>
  <r>
    <x v="760"/>
    <x v="1"/>
    <x v="1"/>
    <x v="6"/>
    <x v="1"/>
    <x v="1"/>
    <x v="3"/>
    <x v="1"/>
    <x v="1"/>
    <x v="2"/>
    <x v="0"/>
    <x v="2"/>
    <x v="5"/>
    <x v="0"/>
    <x v="0"/>
  </r>
  <r>
    <x v="761"/>
    <x v="0"/>
    <x v="0"/>
    <x v="10"/>
    <x v="0"/>
    <x v="2"/>
    <x v="0"/>
    <x v="4"/>
    <x v="0"/>
    <x v="4"/>
    <x v="4"/>
    <x v="2"/>
    <x v="14"/>
    <x v="0"/>
    <x v="0"/>
  </r>
  <r>
    <x v="762"/>
    <x v="1"/>
    <x v="1"/>
    <x v="14"/>
    <x v="0"/>
    <x v="4"/>
    <x v="0"/>
    <x v="0"/>
    <x v="0"/>
    <x v="0"/>
    <x v="1"/>
    <x v="2"/>
    <x v="34"/>
    <x v="0"/>
    <x v="1"/>
  </r>
  <r>
    <x v="763"/>
    <x v="0"/>
    <x v="1"/>
    <x v="14"/>
    <x v="0"/>
    <x v="0"/>
    <x v="4"/>
    <x v="0"/>
    <x v="0"/>
    <x v="0"/>
    <x v="0"/>
    <x v="2"/>
    <x v="6"/>
    <x v="0"/>
    <x v="1"/>
  </r>
  <r>
    <x v="764"/>
    <x v="0"/>
    <x v="0"/>
    <x v="10"/>
    <x v="0"/>
    <x v="3"/>
    <x v="1"/>
    <x v="0"/>
    <x v="1"/>
    <x v="1"/>
    <x v="3"/>
    <x v="2"/>
    <x v="40"/>
    <x v="2"/>
    <x v="0"/>
  </r>
  <r>
    <x v="765"/>
    <x v="1"/>
    <x v="0"/>
    <x v="3"/>
    <x v="0"/>
    <x v="3"/>
    <x v="1"/>
    <x v="0"/>
    <x v="0"/>
    <x v="2"/>
    <x v="2"/>
    <x v="2"/>
    <x v="17"/>
    <x v="0"/>
    <x v="1"/>
  </r>
  <r>
    <x v="766"/>
    <x v="0"/>
    <x v="1"/>
    <x v="14"/>
    <x v="0"/>
    <x v="5"/>
    <x v="0"/>
    <x v="0"/>
    <x v="0"/>
    <x v="4"/>
    <x v="4"/>
    <x v="2"/>
    <x v="0"/>
    <x v="0"/>
    <x v="0"/>
  </r>
  <r>
    <x v="767"/>
    <x v="0"/>
    <x v="0"/>
    <x v="10"/>
    <x v="0"/>
    <x v="4"/>
    <x v="1"/>
    <x v="2"/>
    <x v="0"/>
    <x v="2"/>
    <x v="1"/>
    <x v="2"/>
    <x v="42"/>
    <x v="0"/>
    <x v="1"/>
  </r>
  <r>
    <x v="768"/>
    <x v="0"/>
    <x v="0"/>
    <x v="7"/>
    <x v="2"/>
    <x v="0"/>
    <x v="2"/>
    <x v="2"/>
    <x v="1"/>
    <x v="3"/>
    <x v="1"/>
    <x v="2"/>
    <x v="12"/>
    <x v="0"/>
    <x v="0"/>
  </r>
  <r>
    <x v="769"/>
    <x v="0"/>
    <x v="0"/>
    <x v="11"/>
    <x v="2"/>
    <x v="5"/>
    <x v="0"/>
    <x v="4"/>
    <x v="0"/>
    <x v="3"/>
    <x v="0"/>
    <x v="2"/>
    <x v="8"/>
    <x v="0"/>
    <x v="0"/>
  </r>
  <r>
    <x v="770"/>
    <x v="0"/>
    <x v="1"/>
    <x v="10"/>
    <x v="0"/>
    <x v="0"/>
    <x v="4"/>
    <x v="0"/>
    <x v="1"/>
    <x v="0"/>
    <x v="0"/>
    <x v="2"/>
    <x v="10"/>
    <x v="0"/>
    <x v="0"/>
  </r>
  <r>
    <x v="771"/>
    <x v="0"/>
    <x v="1"/>
    <x v="2"/>
    <x v="0"/>
    <x v="0"/>
    <x v="1"/>
    <x v="0"/>
    <x v="1"/>
    <x v="1"/>
    <x v="0"/>
    <x v="2"/>
    <x v="15"/>
    <x v="0"/>
    <x v="1"/>
  </r>
  <r>
    <x v="772"/>
    <x v="1"/>
    <x v="1"/>
    <x v="10"/>
    <x v="0"/>
    <x v="5"/>
    <x v="4"/>
    <x v="0"/>
    <x v="0"/>
    <x v="0"/>
    <x v="3"/>
    <x v="2"/>
    <x v="15"/>
    <x v="0"/>
    <x v="1"/>
  </r>
  <r>
    <x v="773"/>
    <x v="0"/>
    <x v="0"/>
    <x v="10"/>
    <x v="0"/>
    <x v="0"/>
    <x v="4"/>
    <x v="0"/>
    <x v="0"/>
    <x v="0"/>
    <x v="0"/>
    <x v="2"/>
    <x v="17"/>
    <x v="0"/>
    <x v="0"/>
  </r>
  <r>
    <x v="774"/>
    <x v="0"/>
    <x v="0"/>
    <x v="2"/>
    <x v="0"/>
    <x v="1"/>
    <x v="4"/>
    <x v="2"/>
    <x v="0"/>
    <x v="0"/>
    <x v="0"/>
    <x v="2"/>
    <x v="4"/>
    <x v="0"/>
    <x v="1"/>
  </r>
  <r>
    <x v="775"/>
    <x v="0"/>
    <x v="1"/>
    <x v="3"/>
    <x v="0"/>
    <x v="4"/>
    <x v="3"/>
    <x v="0"/>
    <x v="0"/>
    <x v="2"/>
    <x v="4"/>
    <x v="2"/>
    <x v="9"/>
    <x v="0"/>
    <x v="0"/>
  </r>
  <r>
    <x v="776"/>
    <x v="1"/>
    <x v="1"/>
    <x v="3"/>
    <x v="0"/>
    <x v="4"/>
    <x v="0"/>
    <x v="4"/>
    <x v="1"/>
    <x v="1"/>
    <x v="1"/>
    <x v="2"/>
    <x v="14"/>
    <x v="0"/>
    <x v="1"/>
  </r>
  <r>
    <x v="777"/>
    <x v="1"/>
    <x v="1"/>
    <x v="0"/>
    <x v="0"/>
    <x v="3"/>
    <x v="2"/>
    <x v="0"/>
    <x v="0"/>
    <x v="2"/>
    <x v="2"/>
    <x v="2"/>
    <x v="40"/>
    <x v="2"/>
    <x v="0"/>
  </r>
  <r>
    <x v="778"/>
    <x v="0"/>
    <x v="1"/>
    <x v="8"/>
    <x v="2"/>
    <x v="2"/>
    <x v="1"/>
    <x v="2"/>
    <x v="0"/>
    <x v="4"/>
    <x v="0"/>
    <x v="2"/>
    <x v="3"/>
    <x v="0"/>
    <x v="0"/>
  </r>
  <r>
    <x v="779"/>
    <x v="0"/>
    <x v="1"/>
    <x v="2"/>
    <x v="0"/>
    <x v="1"/>
    <x v="1"/>
    <x v="2"/>
    <x v="1"/>
    <x v="2"/>
    <x v="1"/>
    <x v="2"/>
    <x v="5"/>
    <x v="0"/>
    <x v="1"/>
  </r>
  <r>
    <x v="780"/>
    <x v="0"/>
    <x v="0"/>
    <x v="10"/>
    <x v="0"/>
    <x v="4"/>
    <x v="1"/>
    <x v="2"/>
    <x v="0"/>
    <x v="1"/>
    <x v="4"/>
    <x v="2"/>
    <x v="10"/>
    <x v="0"/>
    <x v="0"/>
  </r>
  <r>
    <x v="781"/>
    <x v="0"/>
    <x v="1"/>
    <x v="2"/>
    <x v="0"/>
    <x v="5"/>
    <x v="0"/>
    <x v="4"/>
    <x v="0"/>
    <x v="0"/>
    <x v="0"/>
    <x v="2"/>
    <x v="1"/>
    <x v="0"/>
    <x v="0"/>
  </r>
  <r>
    <x v="782"/>
    <x v="1"/>
    <x v="1"/>
    <x v="3"/>
    <x v="0"/>
    <x v="5"/>
    <x v="0"/>
    <x v="2"/>
    <x v="0"/>
    <x v="2"/>
    <x v="1"/>
    <x v="2"/>
    <x v="1"/>
    <x v="0"/>
    <x v="1"/>
  </r>
  <r>
    <x v="783"/>
    <x v="0"/>
    <x v="1"/>
    <x v="10"/>
    <x v="0"/>
    <x v="5"/>
    <x v="0"/>
    <x v="0"/>
    <x v="0"/>
    <x v="4"/>
    <x v="2"/>
    <x v="2"/>
    <x v="0"/>
    <x v="0"/>
    <x v="0"/>
  </r>
  <r>
    <x v="784"/>
    <x v="1"/>
    <x v="0"/>
    <x v="4"/>
    <x v="1"/>
    <x v="4"/>
    <x v="2"/>
    <x v="3"/>
    <x v="0"/>
    <x v="2"/>
    <x v="3"/>
    <x v="2"/>
    <x v="39"/>
    <x v="0"/>
    <x v="1"/>
  </r>
  <r>
    <x v="785"/>
    <x v="1"/>
    <x v="0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0"/>
    <x v="1"/>
    <x v="0"/>
    <x v="2"/>
    <x v="11"/>
    <x v="0"/>
    <x v="0"/>
  </r>
  <r>
    <x v="787"/>
    <x v="1"/>
    <x v="0"/>
    <x v="3"/>
    <x v="0"/>
    <x v="4"/>
    <x v="0"/>
    <x v="4"/>
    <x v="1"/>
    <x v="1"/>
    <x v="1"/>
    <x v="2"/>
    <x v="14"/>
    <x v="0"/>
    <x v="1"/>
  </r>
  <r>
    <x v="788"/>
    <x v="1"/>
    <x v="0"/>
    <x v="6"/>
    <x v="1"/>
    <x v="4"/>
    <x v="3"/>
    <x v="1"/>
    <x v="0"/>
    <x v="2"/>
    <x v="3"/>
    <x v="2"/>
    <x v="38"/>
    <x v="0"/>
    <x v="0"/>
  </r>
  <r>
    <x v="789"/>
    <x v="0"/>
    <x v="1"/>
    <x v="10"/>
    <x v="0"/>
    <x v="4"/>
    <x v="2"/>
    <x v="2"/>
    <x v="1"/>
    <x v="2"/>
    <x v="3"/>
    <x v="2"/>
    <x v="28"/>
    <x v="0"/>
    <x v="1"/>
  </r>
  <r>
    <x v="790"/>
    <x v="1"/>
    <x v="0"/>
    <x v="2"/>
    <x v="0"/>
    <x v="4"/>
    <x v="3"/>
    <x v="0"/>
    <x v="1"/>
    <x v="2"/>
    <x v="3"/>
    <x v="2"/>
    <x v="5"/>
    <x v="0"/>
    <x v="0"/>
  </r>
  <r>
    <x v="791"/>
    <x v="0"/>
    <x v="1"/>
    <x v="0"/>
    <x v="0"/>
    <x v="3"/>
    <x v="2"/>
    <x v="0"/>
    <x v="0"/>
    <x v="2"/>
    <x v="2"/>
    <x v="2"/>
    <x v="26"/>
    <x v="2"/>
    <x v="1"/>
  </r>
  <r>
    <x v="792"/>
    <x v="1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1"/>
    <x v="0"/>
    <x v="2"/>
    <x v="1"/>
    <x v="0"/>
    <x v="1"/>
    <x v="1"/>
    <x v="2"/>
    <x v="31"/>
    <x v="0"/>
    <x v="1"/>
  </r>
  <r>
    <x v="794"/>
    <x v="0"/>
    <x v="1"/>
    <x v="14"/>
    <x v="0"/>
    <x v="4"/>
    <x v="4"/>
    <x v="4"/>
    <x v="0"/>
    <x v="2"/>
    <x v="2"/>
    <x v="2"/>
    <x v="45"/>
    <x v="1"/>
    <x v="0"/>
  </r>
  <r>
    <x v="795"/>
    <x v="1"/>
    <x v="1"/>
    <x v="10"/>
    <x v="0"/>
    <x v="4"/>
    <x v="2"/>
    <x v="2"/>
    <x v="0"/>
    <x v="2"/>
    <x v="2"/>
    <x v="2"/>
    <x v="36"/>
    <x v="0"/>
    <x v="0"/>
  </r>
  <r>
    <x v="796"/>
    <x v="0"/>
    <x v="1"/>
    <x v="3"/>
    <x v="0"/>
    <x v="2"/>
    <x v="1"/>
    <x v="2"/>
    <x v="0"/>
    <x v="2"/>
    <x v="3"/>
    <x v="2"/>
    <x v="42"/>
    <x v="0"/>
    <x v="1"/>
  </r>
  <r>
    <x v="797"/>
    <x v="1"/>
    <x v="1"/>
    <x v="10"/>
    <x v="0"/>
    <x v="3"/>
    <x v="1"/>
    <x v="0"/>
    <x v="0"/>
    <x v="1"/>
    <x v="2"/>
    <x v="2"/>
    <x v="40"/>
    <x v="2"/>
    <x v="1"/>
  </r>
  <r>
    <x v="798"/>
    <x v="1"/>
    <x v="0"/>
    <x v="1"/>
    <x v="1"/>
    <x v="3"/>
    <x v="2"/>
    <x v="0"/>
    <x v="1"/>
    <x v="2"/>
    <x v="0"/>
    <x v="2"/>
    <x v="37"/>
    <x v="2"/>
    <x v="1"/>
  </r>
  <r>
    <x v="799"/>
    <x v="1"/>
    <x v="0"/>
    <x v="14"/>
    <x v="0"/>
    <x v="0"/>
    <x v="4"/>
    <x v="0"/>
    <x v="0"/>
    <x v="0"/>
    <x v="3"/>
    <x v="2"/>
    <x v="6"/>
    <x v="0"/>
    <x v="1"/>
  </r>
  <r>
    <x v="800"/>
    <x v="1"/>
    <x v="1"/>
    <x v="10"/>
    <x v="0"/>
    <x v="5"/>
    <x v="0"/>
    <x v="2"/>
    <x v="0"/>
    <x v="2"/>
    <x v="1"/>
    <x v="2"/>
    <x v="1"/>
    <x v="0"/>
    <x v="1"/>
  </r>
  <r>
    <x v="801"/>
    <x v="0"/>
    <x v="1"/>
    <x v="3"/>
    <x v="0"/>
    <x v="5"/>
    <x v="4"/>
    <x v="4"/>
    <x v="0"/>
    <x v="2"/>
    <x v="2"/>
    <x v="2"/>
    <x v="49"/>
    <x v="1"/>
    <x v="0"/>
  </r>
  <r>
    <x v="802"/>
    <x v="0"/>
    <x v="1"/>
    <x v="0"/>
    <x v="0"/>
    <x v="3"/>
    <x v="1"/>
    <x v="0"/>
    <x v="0"/>
    <x v="1"/>
    <x v="2"/>
    <x v="2"/>
    <x v="40"/>
    <x v="2"/>
    <x v="0"/>
  </r>
  <r>
    <x v="803"/>
    <x v="0"/>
    <x v="1"/>
    <x v="0"/>
    <x v="0"/>
    <x v="3"/>
    <x v="2"/>
    <x v="0"/>
    <x v="0"/>
    <x v="2"/>
    <x v="2"/>
    <x v="2"/>
    <x v="26"/>
    <x v="2"/>
    <x v="1"/>
  </r>
  <r>
    <x v="804"/>
    <x v="0"/>
    <x v="1"/>
    <x v="0"/>
    <x v="0"/>
    <x v="3"/>
    <x v="2"/>
    <x v="0"/>
    <x v="1"/>
    <x v="2"/>
    <x v="0"/>
    <x v="2"/>
    <x v="40"/>
    <x v="2"/>
    <x v="1"/>
  </r>
  <r>
    <x v="805"/>
    <x v="1"/>
    <x v="0"/>
    <x v="0"/>
    <x v="0"/>
    <x v="3"/>
    <x v="2"/>
    <x v="0"/>
    <x v="0"/>
    <x v="2"/>
    <x v="2"/>
    <x v="2"/>
    <x v="23"/>
    <x v="0"/>
    <x v="0"/>
  </r>
  <r>
    <x v="806"/>
    <x v="0"/>
    <x v="0"/>
    <x v="4"/>
    <x v="1"/>
    <x v="4"/>
    <x v="2"/>
    <x v="3"/>
    <x v="0"/>
    <x v="2"/>
    <x v="3"/>
    <x v="2"/>
    <x v="39"/>
    <x v="0"/>
    <x v="0"/>
  </r>
  <r>
    <x v="807"/>
    <x v="1"/>
    <x v="0"/>
    <x v="10"/>
    <x v="0"/>
    <x v="3"/>
    <x v="1"/>
    <x v="2"/>
    <x v="1"/>
    <x v="2"/>
    <x v="3"/>
    <x v="2"/>
    <x v="21"/>
    <x v="0"/>
    <x v="1"/>
  </r>
  <r>
    <x v="808"/>
    <x v="1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0"/>
    <x v="1"/>
    <x v="4"/>
    <x v="4"/>
    <x v="0"/>
    <x v="2"/>
    <x v="2"/>
    <x v="2"/>
    <x v="31"/>
    <x v="0"/>
    <x v="1"/>
  </r>
  <r>
    <x v="811"/>
    <x v="0"/>
    <x v="1"/>
    <x v="10"/>
    <x v="0"/>
    <x v="3"/>
    <x v="1"/>
    <x v="0"/>
    <x v="1"/>
    <x v="2"/>
    <x v="3"/>
    <x v="2"/>
    <x v="23"/>
    <x v="0"/>
    <x v="0"/>
  </r>
  <r>
    <x v="812"/>
    <x v="1"/>
    <x v="0"/>
    <x v="3"/>
    <x v="0"/>
    <x v="5"/>
    <x v="0"/>
    <x v="4"/>
    <x v="0"/>
    <x v="2"/>
    <x v="4"/>
    <x v="2"/>
    <x v="33"/>
    <x v="1"/>
    <x v="0"/>
  </r>
  <r>
    <x v="813"/>
    <x v="0"/>
    <x v="0"/>
    <x v="3"/>
    <x v="0"/>
    <x v="4"/>
    <x v="2"/>
    <x v="2"/>
    <x v="0"/>
    <x v="2"/>
    <x v="4"/>
    <x v="2"/>
    <x v="39"/>
    <x v="0"/>
    <x v="0"/>
  </r>
  <r>
    <x v="814"/>
    <x v="1"/>
    <x v="0"/>
    <x v="3"/>
    <x v="0"/>
    <x v="5"/>
    <x v="0"/>
    <x v="4"/>
    <x v="0"/>
    <x v="2"/>
    <x v="3"/>
    <x v="2"/>
    <x v="24"/>
    <x v="1"/>
    <x v="1"/>
  </r>
  <r>
    <x v="815"/>
    <x v="0"/>
    <x v="1"/>
    <x v="0"/>
    <x v="0"/>
    <x v="3"/>
    <x v="1"/>
    <x v="0"/>
    <x v="1"/>
    <x v="2"/>
    <x v="3"/>
    <x v="2"/>
    <x v="25"/>
    <x v="2"/>
    <x v="0"/>
  </r>
  <r>
    <x v="816"/>
    <x v="0"/>
    <x v="0"/>
    <x v="10"/>
    <x v="0"/>
    <x v="1"/>
    <x v="4"/>
    <x v="2"/>
    <x v="0"/>
    <x v="0"/>
    <x v="1"/>
    <x v="2"/>
    <x v="1"/>
    <x v="0"/>
    <x v="1"/>
  </r>
  <r>
    <x v="817"/>
    <x v="0"/>
    <x v="0"/>
    <x v="10"/>
    <x v="0"/>
    <x v="1"/>
    <x v="4"/>
    <x v="2"/>
    <x v="0"/>
    <x v="0"/>
    <x v="1"/>
    <x v="2"/>
    <x v="0"/>
    <x v="0"/>
    <x v="1"/>
  </r>
  <r>
    <x v="818"/>
    <x v="0"/>
    <x v="1"/>
    <x v="0"/>
    <x v="0"/>
    <x v="3"/>
    <x v="1"/>
    <x v="0"/>
    <x v="0"/>
    <x v="1"/>
    <x v="2"/>
    <x v="2"/>
    <x v="25"/>
    <x v="2"/>
    <x v="0"/>
  </r>
  <r>
    <x v="819"/>
    <x v="1"/>
    <x v="0"/>
    <x v="0"/>
    <x v="0"/>
    <x v="3"/>
    <x v="2"/>
    <x v="0"/>
    <x v="0"/>
    <x v="2"/>
    <x v="2"/>
    <x v="2"/>
    <x v="25"/>
    <x v="2"/>
    <x v="0"/>
  </r>
  <r>
    <x v="820"/>
    <x v="1"/>
    <x v="1"/>
    <x v="15"/>
    <x v="2"/>
    <x v="0"/>
    <x v="0"/>
    <x v="4"/>
    <x v="0"/>
    <x v="1"/>
    <x v="2"/>
    <x v="2"/>
    <x v="1"/>
    <x v="0"/>
    <x v="0"/>
  </r>
  <r>
    <x v="821"/>
    <x v="0"/>
    <x v="1"/>
    <x v="10"/>
    <x v="0"/>
    <x v="3"/>
    <x v="1"/>
    <x v="0"/>
    <x v="0"/>
    <x v="2"/>
    <x v="2"/>
    <x v="2"/>
    <x v="6"/>
    <x v="0"/>
    <x v="1"/>
  </r>
  <r>
    <x v="822"/>
    <x v="0"/>
    <x v="1"/>
    <x v="1"/>
    <x v="1"/>
    <x v="3"/>
    <x v="2"/>
    <x v="0"/>
    <x v="0"/>
    <x v="2"/>
    <x v="2"/>
    <x v="2"/>
    <x v="21"/>
    <x v="0"/>
    <x v="0"/>
  </r>
  <r>
    <x v="823"/>
    <x v="1"/>
    <x v="0"/>
    <x v="3"/>
    <x v="0"/>
    <x v="5"/>
    <x v="2"/>
    <x v="2"/>
    <x v="0"/>
    <x v="0"/>
    <x v="2"/>
    <x v="2"/>
    <x v="5"/>
    <x v="0"/>
    <x v="1"/>
  </r>
  <r>
    <x v="824"/>
    <x v="1"/>
    <x v="1"/>
    <x v="15"/>
    <x v="2"/>
    <x v="4"/>
    <x v="0"/>
    <x v="4"/>
    <x v="1"/>
    <x v="4"/>
    <x v="0"/>
    <x v="2"/>
    <x v="34"/>
    <x v="0"/>
    <x v="1"/>
  </r>
  <r>
    <x v="825"/>
    <x v="0"/>
    <x v="1"/>
    <x v="3"/>
    <x v="0"/>
    <x v="1"/>
    <x v="2"/>
    <x v="2"/>
    <x v="1"/>
    <x v="1"/>
    <x v="3"/>
    <x v="2"/>
    <x v="31"/>
    <x v="0"/>
    <x v="1"/>
  </r>
  <r>
    <x v="826"/>
    <x v="0"/>
    <x v="1"/>
    <x v="3"/>
    <x v="0"/>
    <x v="5"/>
    <x v="4"/>
    <x v="2"/>
    <x v="0"/>
    <x v="0"/>
    <x v="1"/>
    <x v="2"/>
    <x v="4"/>
    <x v="0"/>
    <x v="1"/>
  </r>
  <r>
    <x v="827"/>
    <x v="1"/>
    <x v="0"/>
    <x v="2"/>
    <x v="0"/>
    <x v="1"/>
    <x v="0"/>
    <x v="0"/>
    <x v="0"/>
    <x v="2"/>
    <x v="1"/>
    <x v="2"/>
    <x v="3"/>
    <x v="0"/>
    <x v="1"/>
  </r>
  <r>
    <x v="828"/>
    <x v="1"/>
    <x v="0"/>
    <x v="0"/>
    <x v="0"/>
    <x v="3"/>
    <x v="3"/>
    <x v="1"/>
    <x v="0"/>
    <x v="2"/>
    <x v="2"/>
    <x v="2"/>
    <x v="22"/>
    <x v="2"/>
    <x v="0"/>
  </r>
  <r>
    <x v="829"/>
    <x v="1"/>
    <x v="1"/>
    <x v="9"/>
    <x v="2"/>
    <x v="0"/>
    <x v="4"/>
    <x v="4"/>
    <x v="1"/>
    <x v="3"/>
    <x v="0"/>
    <x v="2"/>
    <x v="29"/>
    <x v="1"/>
    <x v="0"/>
  </r>
  <r>
    <x v="830"/>
    <x v="0"/>
    <x v="1"/>
    <x v="10"/>
    <x v="0"/>
    <x v="4"/>
    <x v="2"/>
    <x v="2"/>
    <x v="1"/>
    <x v="2"/>
    <x v="2"/>
    <x v="2"/>
    <x v="36"/>
    <x v="0"/>
    <x v="0"/>
  </r>
  <r>
    <x v="831"/>
    <x v="0"/>
    <x v="0"/>
    <x v="3"/>
    <x v="0"/>
    <x v="5"/>
    <x v="0"/>
    <x v="2"/>
    <x v="0"/>
    <x v="2"/>
    <x v="0"/>
    <x v="2"/>
    <x v="1"/>
    <x v="0"/>
    <x v="1"/>
  </r>
  <r>
    <x v="832"/>
    <x v="0"/>
    <x v="0"/>
    <x v="10"/>
    <x v="0"/>
    <x v="3"/>
    <x v="4"/>
    <x v="2"/>
    <x v="0"/>
    <x v="0"/>
    <x v="0"/>
    <x v="2"/>
    <x v="32"/>
    <x v="0"/>
    <x v="0"/>
  </r>
  <r>
    <x v="833"/>
    <x v="1"/>
    <x v="0"/>
    <x v="3"/>
    <x v="0"/>
    <x v="3"/>
    <x v="0"/>
    <x v="2"/>
    <x v="1"/>
    <x v="1"/>
    <x v="0"/>
    <x v="2"/>
    <x v="34"/>
    <x v="0"/>
    <x v="1"/>
  </r>
  <r>
    <x v="834"/>
    <x v="1"/>
    <x v="0"/>
    <x v="3"/>
    <x v="0"/>
    <x v="4"/>
    <x v="3"/>
    <x v="0"/>
    <x v="1"/>
    <x v="2"/>
    <x v="1"/>
    <x v="2"/>
    <x v="9"/>
    <x v="0"/>
    <x v="1"/>
  </r>
  <r>
    <x v="835"/>
    <x v="1"/>
    <x v="0"/>
    <x v="10"/>
    <x v="0"/>
    <x v="1"/>
    <x v="0"/>
    <x v="0"/>
    <x v="0"/>
    <x v="0"/>
    <x v="1"/>
    <x v="2"/>
    <x v="8"/>
    <x v="0"/>
    <x v="1"/>
  </r>
  <r>
    <x v="836"/>
    <x v="0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0"/>
    <x v="4"/>
    <x v="0"/>
    <x v="0"/>
    <x v="0"/>
    <x v="0"/>
    <x v="2"/>
    <x v="6"/>
    <x v="0"/>
    <x v="0"/>
  </r>
  <r>
    <x v="838"/>
    <x v="1"/>
    <x v="0"/>
    <x v="2"/>
    <x v="0"/>
    <x v="1"/>
    <x v="0"/>
    <x v="0"/>
    <x v="0"/>
    <x v="2"/>
    <x v="1"/>
    <x v="2"/>
    <x v="3"/>
    <x v="0"/>
    <x v="1"/>
  </r>
  <r>
    <x v="839"/>
    <x v="1"/>
    <x v="0"/>
    <x v="2"/>
    <x v="0"/>
    <x v="1"/>
    <x v="4"/>
    <x v="2"/>
    <x v="0"/>
    <x v="0"/>
    <x v="0"/>
    <x v="2"/>
    <x v="34"/>
    <x v="0"/>
    <x v="1"/>
  </r>
  <r>
    <x v="840"/>
    <x v="0"/>
    <x v="1"/>
    <x v="3"/>
    <x v="0"/>
    <x v="5"/>
    <x v="1"/>
    <x v="2"/>
    <x v="0"/>
    <x v="2"/>
    <x v="4"/>
    <x v="2"/>
    <x v="39"/>
    <x v="0"/>
    <x v="0"/>
  </r>
  <r>
    <x v="841"/>
    <x v="0"/>
    <x v="1"/>
    <x v="7"/>
    <x v="2"/>
    <x v="4"/>
    <x v="4"/>
    <x v="4"/>
    <x v="0"/>
    <x v="4"/>
    <x v="2"/>
    <x v="2"/>
    <x v="46"/>
    <x v="1"/>
    <x v="0"/>
  </r>
  <r>
    <x v="842"/>
    <x v="0"/>
    <x v="0"/>
    <x v="10"/>
    <x v="0"/>
    <x v="0"/>
    <x v="1"/>
    <x v="0"/>
    <x v="0"/>
    <x v="1"/>
    <x v="1"/>
    <x v="2"/>
    <x v="12"/>
    <x v="0"/>
    <x v="1"/>
  </r>
  <r>
    <x v="843"/>
    <x v="1"/>
    <x v="1"/>
    <x v="2"/>
    <x v="0"/>
    <x v="4"/>
    <x v="3"/>
    <x v="0"/>
    <x v="1"/>
    <x v="2"/>
    <x v="3"/>
    <x v="2"/>
    <x v="31"/>
    <x v="0"/>
    <x v="0"/>
  </r>
  <r>
    <x v="844"/>
    <x v="0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1"/>
    <x v="3"/>
    <x v="1"/>
    <x v="0"/>
    <x v="2"/>
    <x v="3"/>
    <x v="2"/>
    <x v="5"/>
    <x v="0"/>
    <x v="0"/>
  </r>
  <r>
    <x v="846"/>
    <x v="0"/>
    <x v="0"/>
    <x v="3"/>
    <x v="0"/>
    <x v="5"/>
    <x v="1"/>
    <x v="2"/>
    <x v="1"/>
    <x v="1"/>
    <x v="3"/>
    <x v="2"/>
    <x v="16"/>
    <x v="0"/>
    <x v="0"/>
  </r>
  <r>
    <x v="847"/>
    <x v="1"/>
    <x v="0"/>
    <x v="0"/>
    <x v="0"/>
    <x v="3"/>
    <x v="3"/>
    <x v="1"/>
    <x v="0"/>
    <x v="2"/>
    <x v="2"/>
    <x v="2"/>
    <x v="19"/>
    <x v="2"/>
    <x v="0"/>
  </r>
  <r>
    <x v="848"/>
    <x v="1"/>
    <x v="1"/>
    <x v="12"/>
    <x v="2"/>
    <x v="3"/>
    <x v="4"/>
    <x v="4"/>
    <x v="1"/>
    <x v="2"/>
    <x v="0"/>
    <x v="2"/>
    <x v="13"/>
    <x v="0"/>
    <x v="1"/>
  </r>
  <r>
    <x v="849"/>
    <x v="0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2"/>
    <x v="4"/>
    <x v="0"/>
    <x v="4"/>
    <x v="1"/>
    <x v="3"/>
    <x v="0"/>
    <x v="2"/>
    <x v="41"/>
    <x v="1"/>
    <x v="0"/>
  </r>
  <r>
    <x v="851"/>
    <x v="0"/>
    <x v="1"/>
    <x v="10"/>
    <x v="0"/>
    <x v="3"/>
    <x v="1"/>
    <x v="0"/>
    <x v="0"/>
    <x v="1"/>
    <x v="2"/>
    <x v="2"/>
    <x v="21"/>
    <x v="0"/>
    <x v="1"/>
  </r>
  <r>
    <x v="852"/>
    <x v="1"/>
    <x v="1"/>
    <x v="14"/>
    <x v="0"/>
    <x v="4"/>
    <x v="0"/>
    <x v="0"/>
    <x v="1"/>
    <x v="1"/>
    <x v="0"/>
    <x v="2"/>
    <x v="32"/>
    <x v="0"/>
    <x v="1"/>
  </r>
  <r>
    <x v="853"/>
    <x v="1"/>
    <x v="1"/>
    <x v="10"/>
    <x v="0"/>
    <x v="0"/>
    <x v="4"/>
    <x v="2"/>
    <x v="0"/>
    <x v="0"/>
    <x v="1"/>
    <x v="2"/>
    <x v="11"/>
    <x v="0"/>
    <x v="1"/>
  </r>
  <r>
    <x v="854"/>
    <x v="0"/>
    <x v="0"/>
    <x v="10"/>
    <x v="0"/>
    <x v="3"/>
    <x v="1"/>
    <x v="2"/>
    <x v="0"/>
    <x v="2"/>
    <x v="2"/>
    <x v="2"/>
    <x v="21"/>
    <x v="0"/>
    <x v="0"/>
  </r>
  <r>
    <x v="855"/>
    <x v="1"/>
    <x v="0"/>
    <x v="1"/>
    <x v="1"/>
    <x v="3"/>
    <x v="1"/>
    <x v="0"/>
    <x v="1"/>
    <x v="1"/>
    <x v="3"/>
    <x v="2"/>
    <x v="23"/>
    <x v="0"/>
    <x v="0"/>
  </r>
  <r>
    <x v="856"/>
    <x v="1"/>
    <x v="1"/>
    <x v="0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0"/>
    <x v="2"/>
    <x v="0"/>
    <x v="1"/>
    <x v="0"/>
    <x v="2"/>
    <x v="15"/>
    <x v="0"/>
    <x v="1"/>
  </r>
  <r>
    <x v="858"/>
    <x v="0"/>
    <x v="1"/>
    <x v="0"/>
    <x v="0"/>
    <x v="3"/>
    <x v="0"/>
    <x v="2"/>
    <x v="1"/>
    <x v="1"/>
    <x v="0"/>
    <x v="2"/>
    <x v="0"/>
    <x v="0"/>
    <x v="0"/>
  </r>
  <r>
    <x v="859"/>
    <x v="0"/>
    <x v="1"/>
    <x v="1"/>
    <x v="1"/>
    <x v="4"/>
    <x v="2"/>
    <x v="0"/>
    <x v="0"/>
    <x v="2"/>
    <x v="3"/>
    <x v="2"/>
    <x v="38"/>
    <x v="0"/>
    <x v="0"/>
  </r>
  <r>
    <x v="860"/>
    <x v="1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1"/>
    <x v="4"/>
    <x v="2"/>
    <x v="3"/>
    <x v="1"/>
    <x v="2"/>
    <x v="3"/>
    <x v="2"/>
    <x v="39"/>
    <x v="0"/>
    <x v="1"/>
  </r>
  <r>
    <x v="862"/>
    <x v="0"/>
    <x v="1"/>
    <x v="14"/>
    <x v="0"/>
    <x v="3"/>
    <x v="4"/>
    <x v="0"/>
    <x v="0"/>
    <x v="0"/>
    <x v="3"/>
    <x v="2"/>
    <x v="21"/>
    <x v="0"/>
    <x v="1"/>
  </r>
  <r>
    <x v="863"/>
    <x v="1"/>
    <x v="1"/>
    <x v="2"/>
    <x v="0"/>
    <x v="3"/>
    <x v="0"/>
    <x v="4"/>
    <x v="1"/>
    <x v="1"/>
    <x v="0"/>
    <x v="2"/>
    <x v="13"/>
    <x v="0"/>
    <x v="1"/>
  </r>
  <r>
    <x v="864"/>
    <x v="1"/>
    <x v="1"/>
    <x v="0"/>
    <x v="0"/>
    <x v="3"/>
    <x v="2"/>
    <x v="0"/>
    <x v="0"/>
    <x v="2"/>
    <x v="2"/>
    <x v="2"/>
    <x v="23"/>
    <x v="0"/>
    <x v="0"/>
  </r>
  <r>
    <x v="865"/>
    <x v="1"/>
    <x v="0"/>
    <x v="2"/>
    <x v="0"/>
    <x v="3"/>
    <x v="0"/>
    <x v="4"/>
    <x v="1"/>
    <x v="1"/>
    <x v="0"/>
    <x v="2"/>
    <x v="13"/>
    <x v="0"/>
    <x v="1"/>
  </r>
  <r>
    <x v="866"/>
    <x v="0"/>
    <x v="1"/>
    <x v="10"/>
    <x v="0"/>
    <x v="4"/>
    <x v="2"/>
    <x v="2"/>
    <x v="0"/>
    <x v="2"/>
    <x v="4"/>
    <x v="2"/>
    <x v="10"/>
    <x v="0"/>
    <x v="0"/>
  </r>
  <r>
    <x v="867"/>
    <x v="0"/>
    <x v="1"/>
    <x v="3"/>
    <x v="0"/>
    <x v="1"/>
    <x v="1"/>
    <x v="2"/>
    <x v="0"/>
    <x v="1"/>
    <x v="2"/>
    <x v="2"/>
    <x v="38"/>
    <x v="0"/>
    <x v="0"/>
  </r>
  <r>
    <x v="868"/>
    <x v="1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2"/>
    <x v="1"/>
    <x v="0"/>
    <x v="4"/>
    <x v="1"/>
    <x v="3"/>
    <x v="3"/>
    <x v="2"/>
    <x v="0"/>
    <x v="0"/>
    <x v="0"/>
  </r>
  <r>
    <x v="870"/>
    <x v="0"/>
    <x v="1"/>
    <x v="10"/>
    <x v="0"/>
    <x v="0"/>
    <x v="1"/>
    <x v="0"/>
    <x v="0"/>
    <x v="1"/>
    <x v="0"/>
    <x v="2"/>
    <x v="30"/>
    <x v="0"/>
    <x v="0"/>
  </r>
  <r>
    <x v="871"/>
    <x v="0"/>
    <x v="1"/>
    <x v="10"/>
    <x v="0"/>
    <x v="4"/>
    <x v="2"/>
    <x v="2"/>
    <x v="0"/>
    <x v="2"/>
    <x v="4"/>
    <x v="2"/>
    <x v="10"/>
    <x v="0"/>
    <x v="0"/>
  </r>
  <r>
    <x v="872"/>
    <x v="1"/>
    <x v="0"/>
    <x v="3"/>
    <x v="0"/>
    <x v="1"/>
    <x v="4"/>
    <x v="4"/>
    <x v="0"/>
    <x v="2"/>
    <x v="2"/>
    <x v="2"/>
    <x v="39"/>
    <x v="0"/>
    <x v="1"/>
  </r>
  <r>
    <x v="873"/>
    <x v="0"/>
    <x v="1"/>
    <x v="14"/>
    <x v="0"/>
    <x v="1"/>
    <x v="0"/>
    <x v="0"/>
    <x v="0"/>
    <x v="2"/>
    <x v="1"/>
    <x v="2"/>
    <x v="8"/>
    <x v="0"/>
    <x v="0"/>
  </r>
  <r>
    <x v="874"/>
    <x v="0"/>
    <x v="0"/>
    <x v="1"/>
    <x v="1"/>
    <x v="0"/>
    <x v="0"/>
    <x v="0"/>
    <x v="0"/>
    <x v="1"/>
    <x v="2"/>
    <x v="2"/>
    <x v="39"/>
    <x v="0"/>
    <x v="1"/>
  </r>
  <r>
    <x v="875"/>
    <x v="1"/>
    <x v="0"/>
    <x v="3"/>
    <x v="0"/>
    <x v="4"/>
    <x v="0"/>
    <x v="0"/>
    <x v="0"/>
    <x v="0"/>
    <x v="1"/>
    <x v="2"/>
    <x v="13"/>
    <x v="0"/>
    <x v="1"/>
  </r>
  <r>
    <x v="876"/>
    <x v="1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0"/>
    <x v="2"/>
    <x v="0"/>
    <x v="4"/>
    <x v="0"/>
    <x v="2"/>
    <x v="1"/>
    <x v="2"/>
    <x v="33"/>
    <x v="1"/>
    <x v="0"/>
  </r>
  <r>
    <x v="878"/>
    <x v="0"/>
    <x v="1"/>
    <x v="14"/>
    <x v="0"/>
    <x v="4"/>
    <x v="4"/>
    <x v="4"/>
    <x v="0"/>
    <x v="2"/>
    <x v="2"/>
    <x v="2"/>
    <x v="51"/>
    <x v="1"/>
    <x v="0"/>
  </r>
  <r>
    <x v="879"/>
    <x v="0"/>
    <x v="1"/>
    <x v="8"/>
    <x v="2"/>
    <x v="5"/>
    <x v="2"/>
    <x v="2"/>
    <x v="0"/>
    <x v="2"/>
    <x v="3"/>
    <x v="2"/>
    <x v="12"/>
    <x v="0"/>
    <x v="0"/>
  </r>
  <r>
    <x v="880"/>
    <x v="0"/>
    <x v="1"/>
    <x v="2"/>
    <x v="0"/>
    <x v="4"/>
    <x v="4"/>
    <x v="2"/>
    <x v="0"/>
    <x v="0"/>
    <x v="0"/>
    <x v="2"/>
    <x v="34"/>
    <x v="0"/>
    <x v="1"/>
  </r>
  <r>
    <x v="881"/>
    <x v="0"/>
    <x v="0"/>
    <x v="2"/>
    <x v="0"/>
    <x v="5"/>
    <x v="4"/>
    <x v="4"/>
    <x v="0"/>
    <x v="2"/>
    <x v="0"/>
    <x v="2"/>
    <x v="52"/>
    <x v="1"/>
    <x v="1"/>
  </r>
  <r>
    <x v="882"/>
    <x v="0"/>
    <x v="1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0"/>
    <x v="2"/>
    <x v="0"/>
    <x v="1"/>
    <x v="1"/>
    <x v="2"/>
    <x v="28"/>
    <x v="0"/>
    <x v="1"/>
  </r>
  <r>
    <x v="884"/>
    <x v="0"/>
    <x v="1"/>
    <x v="2"/>
    <x v="0"/>
    <x v="5"/>
    <x v="4"/>
    <x v="4"/>
    <x v="0"/>
    <x v="2"/>
    <x v="2"/>
    <x v="2"/>
    <x v="35"/>
    <x v="1"/>
    <x v="0"/>
  </r>
  <r>
    <x v="885"/>
    <x v="0"/>
    <x v="0"/>
    <x v="6"/>
    <x v="1"/>
    <x v="4"/>
    <x v="3"/>
    <x v="1"/>
    <x v="0"/>
    <x v="2"/>
    <x v="0"/>
    <x v="2"/>
    <x v="38"/>
    <x v="0"/>
    <x v="0"/>
  </r>
  <r>
    <x v="886"/>
    <x v="0"/>
    <x v="1"/>
    <x v="3"/>
    <x v="0"/>
    <x v="1"/>
    <x v="4"/>
    <x v="2"/>
    <x v="0"/>
    <x v="0"/>
    <x v="1"/>
    <x v="2"/>
    <x v="17"/>
    <x v="0"/>
    <x v="0"/>
  </r>
  <r>
    <x v="887"/>
    <x v="0"/>
    <x v="1"/>
    <x v="14"/>
    <x v="0"/>
    <x v="3"/>
    <x v="4"/>
    <x v="0"/>
    <x v="0"/>
    <x v="0"/>
    <x v="0"/>
    <x v="2"/>
    <x v="21"/>
    <x v="0"/>
    <x v="0"/>
  </r>
  <r>
    <x v="888"/>
    <x v="1"/>
    <x v="0"/>
    <x v="10"/>
    <x v="0"/>
    <x v="5"/>
    <x v="0"/>
    <x v="0"/>
    <x v="1"/>
    <x v="2"/>
    <x v="0"/>
    <x v="2"/>
    <x v="0"/>
    <x v="0"/>
    <x v="0"/>
  </r>
  <r>
    <x v="889"/>
    <x v="0"/>
    <x v="0"/>
    <x v="3"/>
    <x v="0"/>
    <x v="0"/>
    <x v="4"/>
    <x v="0"/>
    <x v="0"/>
    <x v="0"/>
    <x v="0"/>
    <x v="2"/>
    <x v="11"/>
    <x v="0"/>
    <x v="1"/>
  </r>
  <r>
    <x v="890"/>
    <x v="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2"/>
    <x v="0"/>
    <x v="4"/>
    <x v="4"/>
    <x v="0"/>
    <x v="4"/>
    <x v="1"/>
    <x v="2"/>
    <x v="49"/>
    <x v="1"/>
    <x v="1"/>
  </r>
  <r>
    <x v="892"/>
    <x v="1"/>
    <x v="0"/>
    <x v="3"/>
    <x v="0"/>
    <x v="5"/>
    <x v="0"/>
    <x v="0"/>
    <x v="0"/>
    <x v="2"/>
    <x v="1"/>
    <x v="2"/>
    <x v="1"/>
    <x v="0"/>
    <x v="1"/>
  </r>
  <r>
    <x v="893"/>
    <x v="0"/>
    <x v="1"/>
    <x v="10"/>
    <x v="0"/>
    <x v="0"/>
    <x v="4"/>
    <x v="2"/>
    <x v="0"/>
    <x v="0"/>
    <x v="0"/>
    <x v="2"/>
    <x v="11"/>
    <x v="0"/>
    <x v="0"/>
  </r>
  <r>
    <x v="894"/>
    <x v="0"/>
    <x v="1"/>
    <x v="3"/>
    <x v="0"/>
    <x v="1"/>
    <x v="4"/>
    <x v="2"/>
    <x v="0"/>
    <x v="0"/>
    <x v="0"/>
    <x v="2"/>
    <x v="11"/>
    <x v="0"/>
    <x v="1"/>
  </r>
  <r>
    <x v="895"/>
    <x v="0"/>
    <x v="0"/>
    <x v="14"/>
    <x v="0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0"/>
    <x v="2"/>
    <x v="17"/>
    <x v="0"/>
    <x v="1"/>
  </r>
  <r>
    <x v="897"/>
    <x v="0"/>
    <x v="1"/>
    <x v="1"/>
    <x v="1"/>
    <x v="3"/>
    <x v="3"/>
    <x v="1"/>
    <x v="1"/>
    <x v="2"/>
    <x v="0"/>
    <x v="2"/>
    <x v="26"/>
    <x v="2"/>
    <x v="0"/>
  </r>
  <r>
    <x v="898"/>
    <x v="1"/>
    <x v="1"/>
    <x v="3"/>
    <x v="0"/>
    <x v="2"/>
    <x v="0"/>
    <x v="4"/>
    <x v="0"/>
    <x v="4"/>
    <x v="4"/>
    <x v="2"/>
    <x v="2"/>
    <x v="1"/>
    <x v="1"/>
  </r>
  <r>
    <x v="899"/>
    <x v="0"/>
    <x v="0"/>
    <x v="3"/>
    <x v="0"/>
    <x v="2"/>
    <x v="4"/>
    <x v="2"/>
    <x v="0"/>
    <x v="4"/>
    <x v="4"/>
    <x v="2"/>
    <x v="30"/>
    <x v="0"/>
    <x v="0"/>
  </r>
  <r>
    <x v="900"/>
    <x v="0"/>
    <x v="1"/>
    <x v="0"/>
    <x v="0"/>
    <x v="5"/>
    <x v="2"/>
    <x v="0"/>
    <x v="0"/>
    <x v="2"/>
    <x v="0"/>
    <x v="2"/>
    <x v="20"/>
    <x v="0"/>
    <x v="1"/>
  </r>
  <r>
    <x v="901"/>
    <x v="1"/>
    <x v="0"/>
    <x v="10"/>
    <x v="0"/>
    <x v="5"/>
    <x v="0"/>
    <x v="0"/>
    <x v="0"/>
    <x v="2"/>
    <x v="1"/>
    <x v="2"/>
    <x v="0"/>
    <x v="0"/>
    <x v="1"/>
  </r>
  <r>
    <x v="902"/>
    <x v="1"/>
    <x v="1"/>
    <x v="2"/>
    <x v="0"/>
    <x v="1"/>
    <x v="0"/>
    <x v="0"/>
    <x v="0"/>
    <x v="0"/>
    <x v="1"/>
    <x v="2"/>
    <x v="8"/>
    <x v="0"/>
    <x v="0"/>
  </r>
  <r>
    <x v="903"/>
    <x v="1"/>
    <x v="1"/>
    <x v="8"/>
    <x v="2"/>
    <x v="5"/>
    <x v="4"/>
    <x v="4"/>
    <x v="0"/>
    <x v="1"/>
    <x v="2"/>
    <x v="2"/>
    <x v="49"/>
    <x v="1"/>
    <x v="0"/>
  </r>
  <r>
    <x v="904"/>
    <x v="1"/>
    <x v="0"/>
    <x v="10"/>
    <x v="0"/>
    <x v="4"/>
    <x v="0"/>
    <x v="0"/>
    <x v="1"/>
    <x v="0"/>
    <x v="0"/>
    <x v="2"/>
    <x v="4"/>
    <x v="0"/>
    <x v="1"/>
  </r>
  <r>
    <x v="905"/>
    <x v="1"/>
    <x v="1"/>
    <x v="8"/>
    <x v="2"/>
    <x v="5"/>
    <x v="0"/>
    <x v="4"/>
    <x v="0"/>
    <x v="1"/>
    <x v="3"/>
    <x v="2"/>
    <x v="13"/>
    <x v="0"/>
    <x v="1"/>
  </r>
  <r>
    <x v="906"/>
    <x v="0"/>
    <x v="1"/>
    <x v="10"/>
    <x v="0"/>
    <x v="0"/>
    <x v="4"/>
    <x v="2"/>
    <x v="0"/>
    <x v="0"/>
    <x v="1"/>
    <x v="2"/>
    <x v="17"/>
    <x v="0"/>
    <x v="1"/>
  </r>
  <r>
    <x v="907"/>
    <x v="0"/>
    <x v="1"/>
    <x v="14"/>
    <x v="0"/>
    <x v="5"/>
    <x v="0"/>
    <x v="4"/>
    <x v="0"/>
    <x v="2"/>
    <x v="4"/>
    <x v="2"/>
    <x v="18"/>
    <x v="1"/>
    <x v="0"/>
  </r>
  <r>
    <x v="908"/>
    <x v="1"/>
    <x v="1"/>
    <x v="14"/>
    <x v="0"/>
    <x v="1"/>
    <x v="0"/>
    <x v="0"/>
    <x v="0"/>
    <x v="2"/>
    <x v="1"/>
    <x v="2"/>
    <x v="3"/>
    <x v="0"/>
    <x v="1"/>
  </r>
  <r>
    <x v="909"/>
    <x v="0"/>
    <x v="1"/>
    <x v="10"/>
    <x v="0"/>
    <x v="3"/>
    <x v="4"/>
    <x v="0"/>
    <x v="0"/>
    <x v="0"/>
    <x v="3"/>
    <x v="2"/>
    <x v="32"/>
    <x v="0"/>
    <x v="1"/>
  </r>
  <r>
    <x v="910"/>
    <x v="0"/>
    <x v="1"/>
    <x v="0"/>
    <x v="0"/>
    <x v="5"/>
    <x v="2"/>
    <x v="0"/>
    <x v="0"/>
    <x v="2"/>
    <x v="1"/>
    <x v="2"/>
    <x v="30"/>
    <x v="0"/>
    <x v="0"/>
  </r>
  <r>
    <x v="911"/>
    <x v="0"/>
    <x v="0"/>
    <x v="2"/>
    <x v="0"/>
    <x v="2"/>
    <x v="0"/>
    <x v="4"/>
    <x v="0"/>
    <x v="2"/>
    <x v="2"/>
    <x v="2"/>
    <x v="46"/>
    <x v="1"/>
    <x v="0"/>
  </r>
  <r>
    <x v="912"/>
    <x v="0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0"/>
    <x v="4"/>
    <x v="0"/>
    <x v="0"/>
    <x v="0"/>
    <x v="0"/>
    <x v="1"/>
    <x v="2"/>
    <x v="4"/>
    <x v="0"/>
    <x v="1"/>
  </r>
  <r>
    <x v="914"/>
    <x v="1"/>
    <x v="1"/>
    <x v="2"/>
    <x v="0"/>
    <x v="2"/>
    <x v="4"/>
    <x v="0"/>
    <x v="1"/>
    <x v="0"/>
    <x v="0"/>
    <x v="2"/>
    <x v="15"/>
    <x v="0"/>
    <x v="0"/>
  </r>
  <r>
    <x v="915"/>
    <x v="0"/>
    <x v="1"/>
    <x v="10"/>
    <x v="0"/>
    <x v="1"/>
    <x v="4"/>
    <x v="4"/>
    <x v="0"/>
    <x v="2"/>
    <x v="4"/>
    <x v="2"/>
    <x v="46"/>
    <x v="1"/>
    <x v="0"/>
  </r>
  <r>
    <x v="916"/>
    <x v="1"/>
    <x v="1"/>
    <x v="3"/>
    <x v="0"/>
    <x v="1"/>
    <x v="4"/>
    <x v="2"/>
    <x v="1"/>
    <x v="0"/>
    <x v="0"/>
    <x v="2"/>
    <x v="11"/>
    <x v="0"/>
    <x v="1"/>
  </r>
  <r>
    <x v="917"/>
    <x v="1"/>
    <x v="1"/>
    <x v="15"/>
    <x v="2"/>
    <x v="1"/>
    <x v="0"/>
    <x v="4"/>
    <x v="0"/>
    <x v="3"/>
    <x v="1"/>
    <x v="2"/>
    <x v="8"/>
    <x v="0"/>
    <x v="1"/>
  </r>
  <r>
    <x v="918"/>
    <x v="0"/>
    <x v="0"/>
    <x v="3"/>
    <x v="0"/>
    <x v="3"/>
    <x v="1"/>
    <x v="0"/>
    <x v="0"/>
    <x v="2"/>
    <x v="2"/>
    <x v="2"/>
    <x v="17"/>
    <x v="0"/>
    <x v="1"/>
  </r>
  <r>
    <x v="919"/>
    <x v="0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1"/>
    <x v="4"/>
    <x v="2"/>
    <x v="0"/>
    <x v="0"/>
    <x v="2"/>
    <x v="3"/>
    <x v="2"/>
    <x v="36"/>
    <x v="0"/>
    <x v="0"/>
  </r>
  <r>
    <x v="921"/>
    <x v="1"/>
    <x v="0"/>
    <x v="3"/>
    <x v="0"/>
    <x v="1"/>
    <x v="1"/>
    <x v="2"/>
    <x v="0"/>
    <x v="1"/>
    <x v="2"/>
    <x v="2"/>
    <x v="38"/>
    <x v="0"/>
    <x v="1"/>
  </r>
  <r>
    <x v="922"/>
    <x v="0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0"/>
    <x v="1"/>
    <x v="4"/>
    <x v="4"/>
    <x v="1"/>
    <x v="2"/>
    <x v="3"/>
    <x v="2"/>
    <x v="39"/>
    <x v="0"/>
    <x v="1"/>
  </r>
  <r>
    <x v="924"/>
    <x v="1"/>
    <x v="1"/>
    <x v="8"/>
    <x v="2"/>
    <x v="4"/>
    <x v="1"/>
    <x v="2"/>
    <x v="0"/>
    <x v="1"/>
    <x v="1"/>
    <x v="2"/>
    <x v="28"/>
    <x v="0"/>
    <x v="1"/>
  </r>
  <r>
    <x v="925"/>
    <x v="1"/>
    <x v="0"/>
    <x v="14"/>
    <x v="0"/>
    <x v="3"/>
    <x v="4"/>
    <x v="0"/>
    <x v="0"/>
    <x v="0"/>
    <x v="3"/>
    <x v="2"/>
    <x v="6"/>
    <x v="0"/>
    <x v="1"/>
  </r>
  <r>
    <x v="926"/>
    <x v="1"/>
    <x v="0"/>
    <x v="0"/>
    <x v="0"/>
    <x v="4"/>
    <x v="2"/>
    <x v="2"/>
    <x v="0"/>
    <x v="2"/>
    <x v="4"/>
    <x v="2"/>
    <x v="42"/>
    <x v="0"/>
    <x v="0"/>
  </r>
  <r>
    <x v="927"/>
    <x v="0"/>
    <x v="0"/>
    <x v="3"/>
    <x v="0"/>
    <x v="3"/>
    <x v="4"/>
    <x v="2"/>
    <x v="0"/>
    <x v="0"/>
    <x v="1"/>
    <x v="2"/>
    <x v="32"/>
    <x v="0"/>
    <x v="0"/>
  </r>
  <r>
    <x v="928"/>
    <x v="0"/>
    <x v="1"/>
    <x v="10"/>
    <x v="0"/>
    <x v="4"/>
    <x v="2"/>
    <x v="2"/>
    <x v="0"/>
    <x v="2"/>
    <x v="2"/>
    <x v="2"/>
    <x v="28"/>
    <x v="0"/>
    <x v="0"/>
  </r>
  <r>
    <x v="929"/>
    <x v="0"/>
    <x v="1"/>
    <x v="10"/>
    <x v="0"/>
    <x v="4"/>
    <x v="2"/>
    <x v="2"/>
    <x v="0"/>
    <x v="2"/>
    <x v="2"/>
    <x v="2"/>
    <x v="5"/>
    <x v="0"/>
    <x v="0"/>
  </r>
  <r>
    <x v="930"/>
    <x v="0"/>
    <x v="1"/>
    <x v="3"/>
    <x v="0"/>
    <x v="2"/>
    <x v="4"/>
    <x v="2"/>
    <x v="1"/>
    <x v="4"/>
    <x v="4"/>
    <x v="2"/>
    <x v="15"/>
    <x v="0"/>
    <x v="0"/>
  </r>
  <r>
    <x v="931"/>
    <x v="0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0"/>
    <x v="3"/>
    <x v="2"/>
    <x v="0"/>
    <x v="1"/>
    <x v="2"/>
    <x v="0"/>
    <x v="2"/>
    <x v="40"/>
    <x v="2"/>
    <x v="1"/>
  </r>
  <r>
    <x v="933"/>
    <x v="1"/>
    <x v="1"/>
    <x v="10"/>
    <x v="0"/>
    <x v="3"/>
    <x v="1"/>
    <x v="0"/>
    <x v="0"/>
    <x v="0"/>
    <x v="2"/>
    <x v="2"/>
    <x v="19"/>
    <x v="2"/>
    <x v="0"/>
  </r>
  <r>
    <x v="934"/>
    <x v="0"/>
    <x v="1"/>
    <x v="10"/>
    <x v="0"/>
    <x v="4"/>
    <x v="0"/>
    <x v="4"/>
    <x v="0"/>
    <x v="0"/>
    <x v="1"/>
    <x v="2"/>
    <x v="14"/>
    <x v="0"/>
    <x v="0"/>
  </r>
  <r>
    <x v="935"/>
    <x v="0"/>
    <x v="0"/>
    <x v="10"/>
    <x v="0"/>
    <x v="0"/>
    <x v="1"/>
    <x v="0"/>
    <x v="0"/>
    <x v="1"/>
    <x v="0"/>
    <x v="2"/>
    <x v="12"/>
    <x v="0"/>
    <x v="1"/>
  </r>
  <r>
    <x v="936"/>
    <x v="0"/>
    <x v="0"/>
    <x v="10"/>
    <x v="0"/>
    <x v="5"/>
    <x v="0"/>
    <x v="4"/>
    <x v="0"/>
    <x v="2"/>
    <x v="1"/>
    <x v="2"/>
    <x v="2"/>
    <x v="1"/>
    <x v="0"/>
  </r>
  <r>
    <x v="937"/>
    <x v="0"/>
    <x v="1"/>
    <x v="3"/>
    <x v="0"/>
    <x v="5"/>
    <x v="4"/>
    <x v="2"/>
    <x v="0"/>
    <x v="0"/>
    <x v="0"/>
    <x v="2"/>
    <x v="4"/>
    <x v="0"/>
    <x v="1"/>
  </r>
  <r>
    <x v="938"/>
    <x v="0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0"/>
    <x v="4"/>
    <x v="3"/>
    <x v="0"/>
    <x v="1"/>
    <x v="2"/>
    <x v="3"/>
    <x v="2"/>
    <x v="5"/>
    <x v="0"/>
    <x v="0"/>
  </r>
  <r>
    <x v="940"/>
    <x v="1"/>
    <x v="0"/>
    <x v="10"/>
    <x v="0"/>
    <x v="0"/>
    <x v="4"/>
    <x v="0"/>
    <x v="0"/>
    <x v="0"/>
    <x v="3"/>
    <x v="2"/>
    <x v="11"/>
    <x v="0"/>
    <x v="0"/>
  </r>
  <r>
    <x v="941"/>
    <x v="0"/>
    <x v="0"/>
    <x v="10"/>
    <x v="0"/>
    <x v="0"/>
    <x v="4"/>
    <x v="0"/>
    <x v="0"/>
    <x v="0"/>
    <x v="1"/>
    <x v="2"/>
    <x v="17"/>
    <x v="0"/>
    <x v="1"/>
  </r>
  <r>
    <x v="942"/>
    <x v="0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0"/>
    <x v="1"/>
    <x v="2"/>
    <x v="17"/>
    <x v="0"/>
    <x v="1"/>
  </r>
  <r>
    <x v="945"/>
    <x v="1"/>
    <x v="1"/>
    <x v="14"/>
    <x v="0"/>
    <x v="4"/>
    <x v="0"/>
    <x v="0"/>
    <x v="1"/>
    <x v="1"/>
    <x v="0"/>
    <x v="2"/>
    <x v="13"/>
    <x v="0"/>
    <x v="1"/>
  </r>
  <r>
    <x v="946"/>
    <x v="0"/>
    <x v="0"/>
    <x v="8"/>
    <x v="2"/>
    <x v="2"/>
    <x v="0"/>
    <x v="4"/>
    <x v="0"/>
    <x v="2"/>
    <x v="3"/>
    <x v="2"/>
    <x v="18"/>
    <x v="1"/>
    <x v="1"/>
  </r>
  <r>
    <x v="947"/>
    <x v="1"/>
    <x v="0"/>
    <x v="8"/>
    <x v="2"/>
    <x v="5"/>
    <x v="2"/>
    <x v="2"/>
    <x v="1"/>
    <x v="4"/>
    <x v="3"/>
    <x v="2"/>
    <x v="12"/>
    <x v="0"/>
    <x v="1"/>
  </r>
  <r>
    <x v="948"/>
    <x v="1"/>
    <x v="0"/>
    <x v="10"/>
    <x v="0"/>
    <x v="3"/>
    <x v="4"/>
    <x v="0"/>
    <x v="1"/>
    <x v="0"/>
    <x v="0"/>
    <x v="2"/>
    <x v="8"/>
    <x v="0"/>
    <x v="0"/>
  </r>
  <r>
    <x v="949"/>
    <x v="0"/>
    <x v="1"/>
    <x v="3"/>
    <x v="0"/>
    <x v="4"/>
    <x v="3"/>
    <x v="0"/>
    <x v="0"/>
    <x v="2"/>
    <x v="4"/>
    <x v="2"/>
    <x v="39"/>
    <x v="0"/>
    <x v="0"/>
  </r>
  <r>
    <x v="950"/>
    <x v="1"/>
    <x v="0"/>
    <x v="3"/>
    <x v="0"/>
    <x v="0"/>
    <x v="4"/>
    <x v="2"/>
    <x v="0"/>
    <x v="0"/>
    <x v="1"/>
    <x v="2"/>
    <x v="17"/>
    <x v="0"/>
    <x v="0"/>
  </r>
  <r>
    <x v="951"/>
    <x v="0"/>
    <x v="1"/>
    <x v="3"/>
    <x v="0"/>
    <x v="3"/>
    <x v="0"/>
    <x v="2"/>
    <x v="1"/>
    <x v="1"/>
    <x v="0"/>
    <x v="2"/>
    <x v="13"/>
    <x v="0"/>
    <x v="0"/>
  </r>
  <r>
    <x v="952"/>
    <x v="0"/>
    <x v="0"/>
    <x v="3"/>
    <x v="0"/>
    <x v="5"/>
    <x v="0"/>
    <x v="4"/>
    <x v="1"/>
    <x v="1"/>
    <x v="3"/>
    <x v="2"/>
    <x v="14"/>
    <x v="0"/>
    <x v="0"/>
  </r>
  <r>
    <x v="953"/>
    <x v="1"/>
    <x v="0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0"/>
    <x v="2"/>
    <x v="0"/>
    <x v="1"/>
    <x v="0"/>
    <x v="2"/>
    <x v="28"/>
    <x v="0"/>
    <x v="1"/>
  </r>
  <r>
    <x v="955"/>
    <x v="0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0"/>
    <x v="5"/>
    <x v="4"/>
    <x v="2"/>
    <x v="0"/>
    <x v="0"/>
    <x v="1"/>
    <x v="2"/>
    <x v="11"/>
    <x v="0"/>
    <x v="1"/>
  </r>
  <r>
    <x v="957"/>
    <x v="0"/>
    <x v="0"/>
    <x v="10"/>
    <x v="0"/>
    <x v="3"/>
    <x v="1"/>
    <x v="2"/>
    <x v="0"/>
    <x v="2"/>
    <x v="2"/>
    <x v="2"/>
    <x v="25"/>
    <x v="2"/>
    <x v="0"/>
  </r>
  <r>
    <x v="958"/>
    <x v="0"/>
    <x v="1"/>
    <x v="8"/>
    <x v="2"/>
    <x v="2"/>
    <x v="4"/>
    <x v="2"/>
    <x v="0"/>
    <x v="0"/>
    <x v="0"/>
    <x v="2"/>
    <x v="15"/>
    <x v="0"/>
    <x v="1"/>
  </r>
  <r>
    <x v="959"/>
    <x v="0"/>
    <x v="1"/>
    <x v="10"/>
    <x v="0"/>
    <x v="0"/>
    <x v="1"/>
    <x v="0"/>
    <x v="0"/>
    <x v="1"/>
    <x v="1"/>
    <x v="2"/>
    <x v="12"/>
    <x v="0"/>
    <x v="1"/>
  </r>
  <r>
    <x v="960"/>
    <x v="1"/>
    <x v="1"/>
    <x v="11"/>
    <x v="2"/>
    <x v="3"/>
    <x v="1"/>
    <x v="2"/>
    <x v="1"/>
    <x v="3"/>
    <x v="3"/>
    <x v="2"/>
    <x v="12"/>
    <x v="0"/>
    <x v="0"/>
  </r>
  <r>
    <x v="961"/>
    <x v="0"/>
    <x v="0"/>
    <x v="7"/>
    <x v="2"/>
    <x v="4"/>
    <x v="0"/>
    <x v="4"/>
    <x v="0"/>
    <x v="4"/>
    <x v="2"/>
    <x v="2"/>
    <x v="24"/>
    <x v="1"/>
    <x v="0"/>
  </r>
  <r>
    <x v="962"/>
    <x v="0"/>
    <x v="1"/>
    <x v="10"/>
    <x v="0"/>
    <x v="4"/>
    <x v="1"/>
    <x v="2"/>
    <x v="0"/>
    <x v="2"/>
    <x v="4"/>
    <x v="2"/>
    <x v="10"/>
    <x v="0"/>
    <x v="0"/>
  </r>
  <r>
    <x v="963"/>
    <x v="0"/>
    <x v="0"/>
    <x v="8"/>
    <x v="2"/>
    <x v="2"/>
    <x v="0"/>
    <x v="4"/>
    <x v="0"/>
    <x v="2"/>
    <x v="3"/>
    <x v="2"/>
    <x v="29"/>
    <x v="1"/>
    <x v="1"/>
  </r>
  <r>
    <x v="964"/>
    <x v="1"/>
    <x v="1"/>
    <x v="3"/>
    <x v="0"/>
    <x v="5"/>
    <x v="1"/>
    <x v="2"/>
    <x v="0"/>
    <x v="1"/>
    <x v="4"/>
    <x v="2"/>
    <x v="16"/>
    <x v="0"/>
    <x v="0"/>
  </r>
  <r>
    <x v="965"/>
    <x v="1"/>
    <x v="0"/>
    <x v="14"/>
    <x v="0"/>
    <x v="1"/>
    <x v="0"/>
    <x v="0"/>
    <x v="1"/>
    <x v="1"/>
    <x v="0"/>
    <x v="2"/>
    <x v="8"/>
    <x v="0"/>
    <x v="0"/>
  </r>
  <r>
    <x v="966"/>
    <x v="0"/>
    <x v="0"/>
    <x v="14"/>
    <x v="0"/>
    <x v="3"/>
    <x v="4"/>
    <x v="0"/>
    <x v="0"/>
    <x v="0"/>
    <x v="3"/>
    <x v="2"/>
    <x v="6"/>
    <x v="0"/>
    <x v="1"/>
  </r>
  <r>
    <x v="967"/>
    <x v="0"/>
    <x v="1"/>
    <x v="2"/>
    <x v="0"/>
    <x v="1"/>
    <x v="0"/>
    <x v="4"/>
    <x v="0"/>
    <x v="1"/>
    <x v="3"/>
    <x v="2"/>
    <x v="16"/>
    <x v="0"/>
    <x v="0"/>
  </r>
  <r>
    <x v="968"/>
    <x v="1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0"/>
    <x v="3"/>
    <x v="4"/>
    <x v="2"/>
    <x v="1"/>
    <x v="0"/>
    <x v="0"/>
    <x v="2"/>
    <x v="32"/>
    <x v="0"/>
    <x v="0"/>
  </r>
  <r>
    <x v="970"/>
    <x v="0"/>
    <x v="0"/>
    <x v="10"/>
    <x v="0"/>
    <x v="3"/>
    <x v="1"/>
    <x v="0"/>
    <x v="0"/>
    <x v="2"/>
    <x v="2"/>
    <x v="2"/>
    <x v="23"/>
    <x v="0"/>
    <x v="0"/>
  </r>
  <r>
    <x v="971"/>
    <x v="1"/>
    <x v="0"/>
    <x v="10"/>
    <x v="0"/>
    <x v="4"/>
    <x v="3"/>
    <x v="0"/>
    <x v="1"/>
    <x v="2"/>
    <x v="3"/>
    <x v="2"/>
    <x v="36"/>
    <x v="0"/>
    <x v="0"/>
  </r>
  <r>
    <x v="972"/>
    <x v="0"/>
    <x v="0"/>
    <x v="1"/>
    <x v="1"/>
    <x v="0"/>
    <x v="2"/>
    <x v="1"/>
    <x v="0"/>
    <x v="1"/>
    <x v="2"/>
    <x v="2"/>
    <x v="31"/>
    <x v="0"/>
    <x v="0"/>
  </r>
  <r>
    <x v="973"/>
    <x v="0"/>
    <x v="1"/>
    <x v="10"/>
    <x v="0"/>
    <x v="0"/>
    <x v="1"/>
    <x v="0"/>
    <x v="1"/>
    <x v="1"/>
    <x v="0"/>
    <x v="2"/>
    <x v="15"/>
    <x v="0"/>
    <x v="0"/>
  </r>
  <r>
    <x v="974"/>
    <x v="0"/>
    <x v="1"/>
    <x v="3"/>
    <x v="0"/>
    <x v="1"/>
    <x v="4"/>
    <x v="4"/>
    <x v="0"/>
    <x v="2"/>
    <x v="2"/>
    <x v="2"/>
    <x v="39"/>
    <x v="0"/>
    <x v="1"/>
  </r>
  <r>
    <x v="975"/>
    <x v="0"/>
    <x v="1"/>
    <x v="3"/>
    <x v="0"/>
    <x v="1"/>
    <x v="4"/>
    <x v="2"/>
    <x v="0"/>
    <x v="0"/>
    <x v="0"/>
    <x v="2"/>
    <x v="11"/>
    <x v="0"/>
    <x v="1"/>
  </r>
  <r>
    <x v="976"/>
    <x v="0"/>
    <x v="0"/>
    <x v="10"/>
    <x v="0"/>
    <x v="1"/>
    <x v="0"/>
    <x v="4"/>
    <x v="0"/>
    <x v="2"/>
    <x v="4"/>
    <x v="2"/>
    <x v="29"/>
    <x v="1"/>
    <x v="0"/>
  </r>
  <r>
    <x v="977"/>
    <x v="1"/>
    <x v="0"/>
    <x v="2"/>
    <x v="0"/>
    <x v="5"/>
    <x v="4"/>
    <x v="4"/>
    <x v="0"/>
    <x v="2"/>
    <x v="2"/>
    <x v="2"/>
    <x v="27"/>
    <x v="1"/>
    <x v="0"/>
  </r>
  <r>
    <x v="978"/>
    <x v="0"/>
    <x v="1"/>
    <x v="2"/>
    <x v="0"/>
    <x v="2"/>
    <x v="1"/>
    <x v="2"/>
    <x v="0"/>
    <x v="4"/>
    <x v="2"/>
    <x v="2"/>
    <x v="12"/>
    <x v="0"/>
    <x v="0"/>
  </r>
  <r>
    <x v="979"/>
    <x v="1"/>
    <x v="1"/>
    <x v="0"/>
    <x v="0"/>
    <x v="3"/>
    <x v="2"/>
    <x v="0"/>
    <x v="0"/>
    <x v="1"/>
    <x v="2"/>
    <x v="2"/>
    <x v="23"/>
    <x v="0"/>
    <x v="0"/>
  </r>
  <r>
    <x v="980"/>
    <x v="1"/>
    <x v="0"/>
    <x v="2"/>
    <x v="0"/>
    <x v="1"/>
    <x v="0"/>
    <x v="0"/>
    <x v="0"/>
    <x v="4"/>
    <x v="4"/>
    <x v="2"/>
    <x v="8"/>
    <x v="0"/>
    <x v="1"/>
  </r>
  <r>
    <x v="981"/>
    <x v="0"/>
    <x v="1"/>
    <x v="15"/>
    <x v="2"/>
    <x v="2"/>
    <x v="1"/>
    <x v="2"/>
    <x v="0"/>
    <x v="3"/>
    <x v="1"/>
    <x v="2"/>
    <x v="30"/>
    <x v="0"/>
    <x v="0"/>
  </r>
  <r>
    <x v="982"/>
    <x v="1"/>
    <x v="1"/>
    <x v="0"/>
    <x v="0"/>
    <x v="4"/>
    <x v="1"/>
    <x v="1"/>
    <x v="1"/>
    <x v="1"/>
    <x v="3"/>
    <x v="2"/>
    <x v="15"/>
    <x v="0"/>
    <x v="1"/>
  </r>
  <r>
    <x v="983"/>
    <x v="0"/>
    <x v="1"/>
    <x v="12"/>
    <x v="2"/>
    <x v="4"/>
    <x v="4"/>
    <x v="4"/>
    <x v="0"/>
    <x v="2"/>
    <x v="0"/>
    <x v="2"/>
    <x v="3"/>
    <x v="0"/>
    <x v="0"/>
  </r>
  <r>
    <x v="984"/>
    <x v="0"/>
    <x v="1"/>
    <x v="10"/>
    <x v="0"/>
    <x v="4"/>
    <x v="2"/>
    <x v="2"/>
    <x v="1"/>
    <x v="2"/>
    <x v="3"/>
    <x v="2"/>
    <x v="28"/>
    <x v="0"/>
    <x v="1"/>
  </r>
  <r>
    <x v="985"/>
    <x v="1"/>
    <x v="0"/>
    <x v="14"/>
    <x v="0"/>
    <x v="5"/>
    <x v="0"/>
    <x v="0"/>
    <x v="0"/>
    <x v="2"/>
    <x v="0"/>
    <x v="2"/>
    <x v="0"/>
    <x v="0"/>
    <x v="0"/>
  </r>
  <r>
    <x v="986"/>
    <x v="1"/>
    <x v="1"/>
    <x v="0"/>
    <x v="0"/>
    <x v="2"/>
    <x v="2"/>
    <x v="2"/>
    <x v="0"/>
    <x v="3"/>
    <x v="4"/>
    <x v="2"/>
    <x v="2"/>
    <x v="1"/>
    <x v="1"/>
  </r>
  <r>
    <x v="987"/>
    <x v="1"/>
    <x v="0"/>
    <x v="10"/>
    <x v="0"/>
    <x v="1"/>
    <x v="4"/>
    <x v="4"/>
    <x v="0"/>
    <x v="2"/>
    <x v="4"/>
    <x v="2"/>
    <x v="29"/>
    <x v="1"/>
    <x v="0"/>
  </r>
  <r>
    <x v="988"/>
    <x v="0"/>
    <x v="1"/>
    <x v="3"/>
    <x v="0"/>
    <x v="2"/>
    <x v="0"/>
    <x v="4"/>
    <x v="0"/>
    <x v="2"/>
    <x v="4"/>
    <x v="2"/>
    <x v="18"/>
    <x v="1"/>
    <x v="0"/>
  </r>
  <r>
    <x v="989"/>
    <x v="0"/>
    <x v="1"/>
    <x v="10"/>
    <x v="0"/>
    <x v="5"/>
    <x v="0"/>
    <x v="0"/>
    <x v="1"/>
    <x v="4"/>
    <x v="4"/>
    <x v="2"/>
    <x v="0"/>
    <x v="0"/>
    <x v="0"/>
  </r>
  <r>
    <x v="990"/>
    <x v="1"/>
    <x v="0"/>
    <x v="1"/>
    <x v="1"/>
    <x v="3"/>
    <x v="2"/>
    <x v="0"/>
    <x v="1"/>
    <x v="2"/>
    <x v="2"/>
    <x v="2"/>
    <x v="22"/>
    <x v="2"/>
    <x v="0"/>
  </r>
  <r>
    <x v="991"/>
    <x v="1"/>
    <x v="0"/>
    <x v="10"/>
    <x v="0"/>
    <x v="0"/>
    <x v="4"/>
    <x v="2"/>
    <x v="0"/>
    <x v="0"/>
    <x v="1"/>
    <x v="2"/>
    <x v="4"/>
    <x v="0"/>
    <x v="1"/>
  </r>
  <r>
    <x v="992"/>
    <x v="0"/>
    <x v="1"/>
    <x v="8"/>
    <x v="2"/>
    <x v="4"/>
    <x v="1"/>
    <x v="2"/>
    <x v="1"/>
    <x v="0"/>
    <x v="2"/>
    <x v="2"/>
    <x v="38"/>
    <x v="0"/>
    <x v="1"/>
  </r>
  <r>
    <x v="993"/>
    <x v="1"/>
    <x v="1"/>
    <x v="13"/>
    <x v="2"/>
    <x v="0"/>
    <x v="1"/>
    <x v="2"/>
    <x v="1"/>
    <x v="4"/>
    <x v="0"/>
    <x v="2"/>
    <x v="20"/>
    <x v="0"/>
    <x v="1"/>
  </r>
  <r>
    <x v="994"/>
    <x v="0"/>
    <x v="1"/>
    <x v="2"/>
    <x v="0"/>
    <x v="2"/>
    <x v="1"/>
    <x v="2"/>
    <x v="0"/>
    <x v="4"/>
    <x v="3"/>
    <x v="2"/>
    <x v="30"/>
    <x v="0"/>
    <x v="0"/>
  </r>
  <r>
    <x v="995"/>
    <x v="0"/>
    <x v="1"/>
    <x v="10"/>
    <x v="0"/>
    <x v="4"/>
    <x v="2"/>
    <x v="2"/>
    <x v="0"/>
    <x v="2"/>
    <x v="1"/>
    <x v="2"/>
    <x v="9"/>
    <x v="0"/>
    <x v="1"/>
  </r>
  <r>
    <x v="996"/>
    <x v="1"/>
    <x v="1"/>
    <x v="3"/>
    <x v="0"/>
    <x v="5"/>
    <x v="4"/>
    <x v="2"/>
    <x v="0"/>
    <x v="0"/>
    <x v="1"/>
    <x v="2"/>
    <x v="11"/>
    <x v="0"/>
    <x v="1"/>
  </r>
  <r>
    <x v="997"/>
    <x v="0"/>
    <x v="1"/>
    <x v="10"/>
    <x v="0"/>
    <x v="4"/>
    <x v="0"/>
    <x v="0"/>
    <x v="0"/>
    <x v="0"/>
    <x v="0"/>
    <x v="2"/>
    <x v="13"/>
    <x v="0"/>
    <x v="1"/>
  </r>
  <r>
    <x v="998"/>
    <x v="1"/>
    <x v="1"/>
    <x v="11"/>
    <x v="2"/>
    <x v="1"/>
    <x v="0"/>
    <x v="4"/>
    <x v="1"/>
    <x v="4"/>
    <x v="3"/>
    <x v="2"/>
    <x v="13"/>
    <x v="0"/>
    <x v="0"/>
  </r>
  <r>
    <x v="999"/>
    <x v="1"/>
    <x v="1"/>
    <x v="10"/>
    <x v="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ike Purchase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4:D7" firstHeaderRow="0" firstDataRow="1" firstDataCol="1"/>
  <pivotFields count="15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3">
        <item n="Non-Buyers" x="0"/>
        <item n="Buyers"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.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Percent" fld="14" subtotal="count" showDataAs="percentOfTotal" baseField="0" baseItem="0" numFmtId="10"/>
  </dataFields>
  <formats count="4">
    <format dxfId="0">
      <pivotArea collapsedLevelsAreSubtotals="1" fieldPosition="0">
        <references count="2">
          <reference field="14" count="1" selected="0">
            <x v="0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14" count="1" selected="0">
            <x v="0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4" count="1" selected="0">
            <x v="1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14" count="1" selected="0">
            <x v="1"/>
          </reference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ge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8:E23" firstHeaderRow="1" firstDataRow="2" firstDataCol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ortType="ascending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ed Bike" fld="14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88:E102" firstHeaderRow="1" firstDataRow="2" firstDataCol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2">
    <field x="11"/>
    <field x="13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ed Bike" fld="14" subtotal="count" showDataAs="percentOfTotal" baseField="0" baseItem="0" numFmtId="10"/>
  </dataFields>
  <formats count="2">
    <format dxfId="4">
      <pivotArea collapsedLevelsAreSubtotals="1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79:F84" firstHeaderRow="1" firstDataRow="2" firstDataCol="1" rowPageCount="1" colPageCount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ortType="descending" showAll="0">
      <items count="6">
        <item x="0"/>
        <item x="4"/>
        <item x="2"/>
        <item x="1"/>
        <item x="3"/>
        <item t="default"/>
      </items>
      <autoSortScope>
        <pivotArea type="none" outline="0" fieldPosition="0"/>
      </autoSortScope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Page" dataField="1" compact="0" multipleItemSelectionAllowed="1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4"/>
  </pageFields>
  <dataFields count="1">
    <dataField name="Count of Purchased Bike2" fld="14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8:J22" firstHeaderRow="1" firstDataRow="2" firstDataCol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ed Bike" fld="14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70:I74" firstHeaderRow="1" firstDataRow="2" firstDataCol="1" rowPageCount="1" colPageCount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Col"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Page" dataField="1" compact="0" multipleItemSelectionAllowe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4"/>
  </pageFields>
  <dataFields count="1">
    <dataField name="Count of Purchased Bike" fld="14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Age × Commute Dist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48:F55" firstHeaderRow="1" firstDataRow="2" firstDataCol="1" rowPageCount="1" colPageCount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dataField="1" compact="0" multipleItemSelectionAllowed="1" showAll="0">
      <items count="3">
        <item x="0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14"/>
  </pageFields>
  <dataFields count="1">
    <dataField name="Count of Purchased Bike" fld="14" subtotal="count" showDataAs="percentOfTotal" baseField="0" baseItem="0" numFmtId="10"/>
  </dataFields>
  <formats count="2">
    <format dxfId="6">
      <pivotArea collapsedLevelsAreSubtotals="1" fieldPosition="0"/>
    </format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Cars × Commute Dist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59:H66" firstHeaderRow="1" firstDataRow="2" firstDataCol="1" rowPageCount="1" colPageCount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name="No. of Cars" compact="0" showAll="0">
      <items count="6">
        <item x="0"/>
        <item x="1"/>
        <item x="2"/>
        <item x="4"/>
        <item x="3"/>
        <item t="default"/>
      </items>
    </pivotField>
    <pivotField axis="axisCol"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Page" dataField="1" compact="0" multipleItemSelectionAllowe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4"/>
  </pageFields>
  <dataFields count="1">
    <dataField name="Count of Purchased Bike" fld="14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6">
  <location ref="L94:N99" firstHeaderRow="1" firstDataRow="2" firstDataCol="1"/>
  <pivotFields count="15">
    <pivotField dataField="1"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4"/>
  </colFields>
  <colItems count="2">
    <i>
      <x/>
    </i>
    <i>
      <x v="1"/>
    </i>
  </colItems>
  <dataFields count="1">
    <dataField name="Count of ID" fld="0" subtotal="count" showDataAs="percentOfCol" baseField="14" baseItem="1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Bike Purchase Distribution"/>
    <pivotTable tabId="3" name="Age Distribution"/>
    <pivotTable tabId="3" name="PivotTable2"/>
    <pivotTable tabId="3" name="PivotTable3"/>
    <pivotTable tabId="3" name="PivotTable6"/>
    <pivotTable tabId="3" name="PivotTable7"/>
    <pivotTable tabId="3" name="Age × Commute Distance"/>
    <pivotTable tabId="3" name="Cars × Commute Distance"/>
    <pivotTable tabId="3" name="PivotTable1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Bike Purchase Distribution"/>
    <pivotTable tabId="3" name="Age Distribution"/>
    <pivotTable tabId="3" name="PivotTable2"/>
    <pivotTable tabId="3" name="PivotTable3"/>
    <pivotTable tabId="3" name="PivotTable6"/>
    <pivotTable tabId="3" name="PivotTable7"/>
    <pivotTable tabId="3" name="Age × Commute Distance"/>
    <pivotTable tabId="3" name="Cars × Commute Distance"/>
    <pivotTable tabId="3" name="PivotTable1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Bike Purchase Distribution"/>
    <pivotTable tabId="3" name="Age Distribution"/>
    <pivotTable tabId="3" name="PivotTable2"/>
    <pivotTable tabId="3" name="PivotTable3"/>
    <pivotTable tabId="3" name="PivotTable6"/>
    <pivotTable tabId="3" name="PivotTable7"/>
    <pivotTable tabId="3" name="Age × Commute Distance"/>
    <pivotTable tabId="3" name="Cars × Commute Distance"/>
    <pivotTable tabId="3" name="PivotTable1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rchased_Bike" sourceName="Purchased Bike">
  <pivotTables>
    <pivotTable tabId="3" name="Cars × Commute Distance"/>
    <pivotTable tabId="3" name="Bike Purchase Distribution"/>
    <pivotTable tabId="3" name="Age Distribution"/>
    <pivotTable tabId="3" name="PivotTable2"/>
    <pivotTable tabId="3" name="PivotTable3"/>
    <pivotTable tabId="3" name="PivotTable6"/>
    <pivotTable tabId="3" name="PivotTable7"/>
    <pivotTable tabId="3" name="Age × Commute Distance"/>
    <pivotTable tabId="3" name="PivotTable1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us" cache="Slicer_Marital_Status" caption="Status" rowHeight="225425"/>
  <slicer name="Gender" cache="Slicer_Gender" caption="Gender" rowHeight="225425"/>
  <slicer name="Region" cache="Slicer_Region" caption="Region" rowHeight="225425"/>
  <slicer name="Purchased Bike" cache="Slicer_Purchased_Bike" caption="Buyers" rowHeight="225425"/>
</slicers>
</file>

<file path=xl/tables/table1.xml><?xml version="1.0" encoding="utf-8"?>
<table xmlns="http://schemas.openxmlformats.org/spreadsheetml/2006/main" id="1" name="Table1" displayName="Table1" ref="B14:C16" totalsRowShown="0">
  <autoFilter xmlns:etc="http://www.wps.cn/officeDocument/2017/etCustomData" ref="B14:C16" etc:filterBottomFollowUsedRange="0"/>
  <tableColumns count="2">
    <tableColumn id="1" name="."/>
    <tableColumn id="2" name="Average Age" dataDxfId="8">
      <calculatedColumnFormula>AVERAGEIF('Working Sheet'!O2:O1001,"Yes",'Working Sheet'!M2:M1001)</calculatedColumnFormula>
    </tableColumn>
  </tableColumns>
  <tableStyleInfo name="TableStyleMedium2" showFirstColumn="1" showLastColumn="0" showRowStripes="0" showColumnStripes="0"/>
</table>
</file>

<file path=xl/tables/table2.xml><?xml version="1.0" encoding="utf-8"?>
<table xmlns="http://schemas.openxmlformats.org/spreadsheetml/2006/main" id="6" name="Comparison" displayName="Comparison" ref="B27:D36" totalsRowShown="0">
  <autoFilter xmlns:etc="http://www.wps.cn/officeDocument/2017/etCustomData" ref="B27:D36" etc:filterBottomFollowUsedRange="0"/>
  <tableColumns count="3">
    <tableColumn id="1" name="Metrics"/>
    <tableColumn id="2" name="Buyers"/>
    <tableColumn id="3" name="Non-buy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105:P108" totalsRowShown="0">
  <autoFilter xmlns:etc="http://www.wps.cn/officeDocument/2017/etCustomData" ref="L105:P108" etc:filterBottomFollowUsedRange="0"/>
  <tableColumns count="5">
    <tableColumn id="1" name="Column1"/>
    <tableColumn id="2" name="No"/>
    <tableColumn id="3" name="Yes"/>
    <tableColumn id="4" name="Percent of total sales">
      <calculatedColumnFormula>(N106/481)*100</calculatedColumnFormula>
    </tableColumn>
    <tableColumn id="5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1" Type="http://schemas.openxmlformats.org/officeDocument/2006/relationships/table" Target="../tables/table1.xml"/><Relationship Id="rId10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K93" sqref="K93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2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2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2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2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2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2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2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2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2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2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2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2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2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2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2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2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2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2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2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2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2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2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2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2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2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2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2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2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2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2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2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2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2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2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2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2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2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2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2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2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2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2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2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2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2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2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2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2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2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2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2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2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2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2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2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2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2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2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2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2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2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2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2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2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2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2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2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2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2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2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2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2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2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2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2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2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2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2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2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2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2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2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2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2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2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2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2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2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2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2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2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2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2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2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2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2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2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2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2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2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2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2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2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2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2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2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2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2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2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2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2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2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2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2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2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2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2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2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2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2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2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2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2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2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2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2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2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2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2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2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2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2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2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2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2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2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2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2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2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2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2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2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2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2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2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2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2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2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2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2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2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2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2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2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2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2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2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2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2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2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2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2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2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2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2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2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2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2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2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2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2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2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2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2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2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2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2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2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2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2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2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2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2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2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2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2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2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2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2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2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2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2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2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2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2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2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2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2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2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2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2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2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2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2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2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2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2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2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2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2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2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2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2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2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2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2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2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2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2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2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2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2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2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2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2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2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2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2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2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2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2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2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2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2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2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2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2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2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2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2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2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2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2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2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2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2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2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2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2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2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2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2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2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2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2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2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2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2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2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2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2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2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2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2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2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2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2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2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2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2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2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2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2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2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2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2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2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2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2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2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2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2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2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2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2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2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2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2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2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2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2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2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2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2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2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2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2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2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2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2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2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2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2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2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2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2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2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2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2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2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2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2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2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2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2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2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2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2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2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2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2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2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2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2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2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2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2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2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2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2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2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2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2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2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2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2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2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2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2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2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2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2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2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2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2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2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2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2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2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2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2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2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2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2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2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2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2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2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2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2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2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2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2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2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2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2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2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2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2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2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2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2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2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2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2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2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2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2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2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2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2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2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2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2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2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2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2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2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2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2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2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2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2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2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2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2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2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2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2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2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2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2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2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2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2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2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2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2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2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2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2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2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2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2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2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2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2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2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2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2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2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2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2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2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2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2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2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2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2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2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2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2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2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2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2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2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2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2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2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2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2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2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2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2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2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2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2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2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2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2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2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2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2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2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2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2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2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2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2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2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2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2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2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2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2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2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2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2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2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2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2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2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2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2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2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2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2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2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2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2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2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2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2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2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2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2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2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2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2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2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2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2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2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2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2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2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2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2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2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2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2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2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2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2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2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2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2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2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2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2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2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2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2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2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2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2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2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2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2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2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2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2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2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2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2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2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2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2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2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2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2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2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2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2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2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2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2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2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2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2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2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2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2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2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2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2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2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2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2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2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2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2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2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2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2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2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2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2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2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2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2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2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2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2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2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2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2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2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2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2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2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2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2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2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2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2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2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2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2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2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2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2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2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2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2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2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2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2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2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2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2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2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2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2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2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2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2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2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2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2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2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2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2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2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2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2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2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2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2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2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2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2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2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2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2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2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2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2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2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2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2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2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2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2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2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2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2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2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2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2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2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2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2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2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2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2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2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2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2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2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2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2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2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2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2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2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2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2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2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2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2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2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2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2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2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2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2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2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2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2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2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2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2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2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2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2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2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2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2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2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2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2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2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2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2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2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2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2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2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2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2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2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2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2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2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2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2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2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2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2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2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2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2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2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2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2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2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2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2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2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2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2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2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2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2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2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2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2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2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2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2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2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2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2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2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2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2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2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2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2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2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2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2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2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2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2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2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2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2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2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2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2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2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2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2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2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2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2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2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2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2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2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2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2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2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2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2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2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2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2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2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2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2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2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2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2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2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2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2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2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2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2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2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2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2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2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2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2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2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2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2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2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2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2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2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2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2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2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2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2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2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2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2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2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2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2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2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2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2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2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2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2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2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2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2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2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2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2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2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2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2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2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2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2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2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2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2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2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2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2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2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2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2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2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2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2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2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2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2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2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2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2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2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2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2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2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2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2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2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2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2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2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2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2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2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2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2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2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2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2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2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2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2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2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2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2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2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2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2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2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2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2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2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2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2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2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2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2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2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2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2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2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2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2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2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2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2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2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2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2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2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2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2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2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2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2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2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2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2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2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2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2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2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2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2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2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2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2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2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2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2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2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2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2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2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2">
        <v>60000</v>
      </c>
      <c r="E997" s="13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2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2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2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2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2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2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2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2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2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2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2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2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2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2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2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2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2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2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2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2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2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2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2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2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2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2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2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2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2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2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6"/>
  <sheetViews>
    <sheetView showGridLines="0" tabSelected="1" zoomScale="66" zoomScaleNormal="66" topLeftCell="E19" workbookViewId="0">
      <selection activeCell="D36" sqref="D36"/>
    </sheetView>
  </sheetViews>
  <sheetFormatPr defaultColWidth="9.14285714285714" defaultRowHeight="15"/>
  <sheetData>
    <row r="26" ht="25" customHeight="1"/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108"/>
  <sheetViews>
    <sheetView zoomScale="41" zoomScaleNormal="41" topLeftCell="A56" workbookViewId="0">
      <selection activeCell="M88" sqref="M88"/>
    </sheetView>
  </sheetViews>
  <sheetFormatPr defaultColWidth="9.14285714285714" defaultRowHeight="15"/>
  <cols>
    <col min="2" max="2" width="24.5714285714286"/>
    <col min="3" max="7" width="21.2857142857143"/>
    <col min="8" max="10" width="11.8571428571429"/>
    <col min="11" max="11" width="13.7142857142857"/>
    <col min="12" max="12" width="15"/>
    <col min="13" max="13" width="17.5714285714286"/>
    <col min="14" max="14" width="8.71428571428571"/>
    <col min="15" max="15" width="13.7142857142857"/>
    <col min="16" max="16" width="8.14285714285714"/>
    <col min="17" max="17" width="13.7142857142857"/>
    <col min="18" max="18" width="16.2857142857143"/>
    <col min="19" max="19" width="21.5238095238095"/>
    <col min="20" max="20" width="8.14285714285714"/>
    <col min="21" max="21" width="13.7142857142857"/>
    <col min="22" max="22" width="25.1428571428571"/>
    <col min="23" max="23" width="12.1428571428571"/>
    <col min="24" max="1001" width="6.57142857142857"/>
    <col min="1002" max="1002" width="11.8571428571429"/>
  </cols>
  <sheetData>
    <row r="4" spans="2:4">
      <c r="B4" t="s">
        <v>12</v>
      </c>
      <c r="C4" t="s">
        <v>36</v>
      </c>
      <c r="D4" t="s">
        <v>37</v>
      </c>
    </row>
    <row r="5" spans="2:4">
      <c r="B5" t="s">
        <v>38</v>
      </c>
      <c r="C5">
        <v>519</v>
      </c>
      <c r="D5" s="2">
        <v>0.519</v>
      </c>
    </row>
    <row r="6" spans="2:4">
      <c r="B6" t="s">
        <v>39</v>
      </c>
      <c r="C6">
        <v>481</v>
      </c>
      <c r="D6" s="2">
        <v>0.481</v>
      </c>
    </row>
    <row r="7" spans="2:4">
      <c r="B7" t="s">
        <v>40</v>
      </c>
      <c r="C7">
        <v>1000</v>
      </c>
      <c r="D7" s="3">
        <v>1</v>
      </c>
    </row>
    <row r="14" spans="2:4">
      <c r="B14" t="s">
        <v>41</v>
      </c>
      <c r="C14" t="s">
        <v>42</v>
      </c>
    </row>
    <row r="15" spans="2:4">
      <c r="B15" t="s">
        <v>43</v>
      </c>
      <c r="C15" s="4">
        <f>AVERAGEIF('Working Sheet'!O2:O1001,"Yes",'Working Sheet'!M2:M1001)</f>
        <v>42.9064449064449</v>
      </c>
    </row>
    <row r="16" spans="2:4">
      <c r="B16" t="s">
        <v>38</v>
      </c>
      <c r="C16" s="4">
        <f>AVERAGEIF('Working Sheet'!O3:O1002,"No",'Working Sheet'!M3:M1002)</f>
        <v>45.3339768339768</v>
      </c>
    </row>
    <row r="18" spans="2:10">
      <c r="B18" t="s">
        <v>44</v>
      </c>
      <c r="C18" t="s">
        <v>12</v>
      </c>
      <c r="G18" t="s">
        <v>44</v>
      </c>
      <c r="H18" t="s">
        <v>12</v>
      </c>
    </row>
    <row r="19" spans="2:10">
      <c r="B19" t="s">
        <v>45</v>
      </c>
      <c r="C19" t="s">
        <v>20</v>
      </c>
      <c r="D19" t="s">
        <v>17</v>
      </c>
      <c r="E19" t="s">
        <v>40</v>
      </c>
      <c r="G19" t="s">
        <v>2</v>
      </c>
      <c r="H19" t="s">
        <v>20</v>
      </c>
      <c r="I19" t="s">
        <v>17</v>
      </c>
      <c r="J19" t="s">
        <v>40</v>
      </c>
    </row>
    <row r="20" spans="2:10">
      <c r="B20" t="s">
        <v>46</v>
      </c>
      <c r="C20" s="3">
        <v>0.37</v>
      </c>
      <c r="D20" s="3">
        <v>0.405</v>
      </c>
      <c r="E20" s="3">
        <v>0.775</v>
      </c>
      <c r="G20" t="s">
        <v>47</v>
      </c>
      <c r="H20" s="3">
        <v>0.25</v>
      </c>
      <c r="I20" s="3">
        <v>0.239</v>
      </c>
      <c r="J20" s="3">
        <v>0.489</v>
      </c>
    </row>
    <row r="21" spans="2:10">
      <c r="B21" t="s">
        <v>48</v>
      </c>
      <c r="C21" s="3">
        <v>0.078</v>
      </c>
      <c r="D21" s="3">
        <v>0.037</v>
      </c>
      <c r="E21" s="3">
        <v>0.115</v>
      </c>
      <c r="G21" t="s">
        <v>49</v>
      </c>
      <c r="H21" s="3">
        <v>0.269</v>
      </c>
      <c r="I21" s="3">
        <v>0.242</v>
      </c>
      <c r="J21" s="3">
        <v>0.511</v>
      </c>
    </row>
    <row r="22" spans="2:10">
      <c r="B22" t="s">
        <v>50</v>
      </c>
      <c r="C22" s="3">
        <v>0.071</v>
      </c>
      <c r="D22" s="3">
        <v>0.039</v>
      </c>
      <c r="E22" s="3">
        <v>0.11</v>
      </c>
      <c r="G22" t="s">
        <v>40</v>
      </c>
      <c r="H22" s="3">
        <v>0.519</v>
      </c>
      <c r="I22" s="3">
        <v>0.481</v>
      </c>
      <c r="J22" s="3">
        <v>1</v>
      </c>
    </row>
    <row r="23" spans="2:10">
      <c r="B23" t="s">
        <v>40</v>
      </c>
      <c r="C23" s="3">
        <v>0.519</v>
      </c>
      <c r="D23" s="3">
        <v>0.481</v>
      </c>
      <c r="E23" s="3">
        <v>1</v>
      </c>
    </row>
    <row r="27" spans="2:10">
      <c r="B27" t="s">
        <v>51</v>
      </c>
      <c r="C27" t="s">
        <v>39</v>
      </c>
      <c r="D27" t="s">
        <v>52</v>
      </c>
    </row>
    <row r="28" spans="2:10">
      <c r="B28" t="s">
        <v>53</v>
      </c>
      <c r="C28">
        <f>COUNTIF(bike_buyers!M2:M1001,"Yes")</f>
        <v>481</v>
      </c>
      <c r="D28" s="5">
        <f>COUNTIF(bike_buyers!M2:M1001,"No")</f>
        <v>519</v>
      </c>
    </row>
    <row r="30" spans="2:10">
      <c r="B30" t="s">
        <v>42</v>
      </c>
      <c r="C30" s="4">
        <f>AVERAGEIFS(bike_buyers!L2:L1001,bike_buyers!M2:M1001,"Yes")</f>
        <v>42.9064449064449</v>
      </c>
      <c r="D30" s="6">
        <f>AVERAGEIFS(bike_buyers!L2:L1001,bike_buyers!M2:M1001,"No")</f>
        <v>45.3275529865125</v>
      </c>
    </row>
    <row r="32" spans="2:10">
      <c r="B32" t="s">
        <v>54</v>
      </c>
      <c r="C32" s="7">
        <f>AVERAGEIFS(bike_buyers!D2:D1001,bike_buyers!M2:M1001,"Yes")</f>
        <v>57962.577962578</v>
      </c>
      <c r="D32" s="8">
        <f>AVERAGEIFS(bike_buyers!D2:D1001,bike_buyers!M2:M1001,"No")</f>
        <v>54874.7591522158</v>
      </c>
    </row>
    <row r="34" spans="2:4">
      <c r="B34" t="s">
        <v>55</v>
      </c>
      <c r="C34" s="8">
        <f>AVERAGEIFS(bike_buyers!I2:I1001,bike_buyers!M2:M1001,"Yes")</f>
        <v>1.21205821205821</v>
      </c>
      <c r="D34" s="8">
        <f>AVERAGEIFS(bike_buyers!I2:I1001,bike_buyers!M2:M1001,"No")</f>
        <v>1.65510597302505</v>
      </c>
    </row>
    <row r="36" spans="2:4">
      <c r="B36" t="s">
        <v>56</v>
      </c>
      <c r="C36" s="8">
        <f>AVERAGEIFS(bike_buyers!E2:E1001,bike_buyers!M2:M1001,"Yes")</f>
        <v>1.6964656964657</v>
      </c>
      <c r="D36" s="8">
        <f>AVERAGEIFS(bike_buyers!E2:E1001,bike_buyers!M2:M1001,"No")</f>
        <v>2.08477842003854</v>
      </c>
    </row>
    <row r="45" ht="26.25" spans="2:4">
      <c r="B45" s="9" t="s">
        <v>57</v>
      </c>
    </row>
    <row r="46" spans="2:4">
      <c r="B46" t="s">
        <v>12</v>
      </c>
      <c r="C46" t="s">
        <v>58</v>
      </c>
    </row>
    <row r="48" spans="2:4">
      <c r="B48" t="s">
        <v>44</v>
      </c>
      <c r="C48" t="s">
        <v>59</v>
      </c>
    </row>
    <row r="49" spans="2:8">
      <c r="B49" t="s">
        <v>60</v>
      </c>
      <c r="C49" t="s">
        <v>46</v>
      </c>
      <c r="D49" t="s">
        <v>48</v>
      </c>
      <c r="E49" t="s">
        <v>50</v>
      </c>
      <c r="F49" t="s">
        <v>40</v>
      </c>
    </row>
    <row r="50" spans="2:8">
      <c r="B50" s="10" t="s">
        <v>18</v>
      </c>
      <c r="C50" s="2">
        <v>0.302</v>
      </c>
      <c r="D50" s="2">
        <v>0.025</v>
      </c>
      <c r="E50" s="2">
        <v>0.039</v>
      </c>
      <c r="F50" s="2">
        <v>0.366</v>
      </c>
    </row>
    <row r="51" spans="2:8">
      <c r="B51" s="10" t="s">
        <v>29</v>
      </c>
      <c r="C51" s="2">
        <v>0.138</v>
      </c>
      <c r="D51" s="2">
        <v>0.015</v>
      </c>
      <c r="E51" s="2">
        <v>0.016</v>
      </c>
      <c r="F51" s="2">
        <v>0.169</v>
      </c>
    </row>
    <row r="52" spans="2:8">
      <c r="B52" s="10" t="s">
        <v>24</v>
      </c>
      <c r="C52" s="2">
        <v>0.134</v>
      </c>
      <c r="D52" s="2">
        <v>0.013</v>
      </c>
      <c r="E52" s="2">
        <v>0.015</v>
      </c>
      <c r="F52" s="2">
        <v>0.162</v>
      </c>
    </row>
    <row r="53" spans="2:8">
      <c r="B53" s="10" t="s">
        <v>26</v>
      </c>
      <c r="C53" s="2">
        <v>0.123</v>
      </c>
      <c r="D53" s="2">
        <v>0.032</v>
      </c>
      <c r="E53" s="2">
        <v>0.037</v>
      </c>
      <c r="F53" s="2">
        <v>0.192</v>
      </c>
    </row>
    <row r="54" spans="2:8">
      <c r="B54" s="10" t="s">
        <v>61</v>
      </c>
      <c r="C54" s="2">
        <v>0.078</v>
      </c>
      <c r="D54" s="2">
        <v>0.03</v>
      </c>
      <c r="E54" s="2">
        <v>0.003</v>
      </c>
      <c r="F54" s="2">
        <v>0.111</v>
      </c>
    </row>
    <row r="55" spans="2:8">
      <c r="B55" s="10" t="s">
        <v>40</v>
      </c>
      <c r="C55" s="2">
        <v>0.775</v>
      </c>
      <c r="D55" s="2">
        <v>0.115</v>
      </c>
      <c r="E55" s="2">
        <v>0.11</v>
      </c>
      <c r="F55" s="2">
        <v>1</v>
      </c>
    </row>
    <row r="57" spans="2:8">
      <c r="B57" t="s">
        <v>12</v>
      </c>
      <c r="C57" t="s">
        <v>58</v>
      </c>
    </row>
    <row r="59" spans="2:8">
      <c r="B59" t="s">
        <v>44</v>
      </c>
      <c r="C59" t="s">
        <v>9</v>
      </c>
    </row>
    <row r="60" spans="2:8">
      <c r="B60" t="s">
        <v>62</v>
      </c>
      <c r="C60" t="s">
        <v>18</v>
      </c>
      <c r="D60" t="s">
        <v>29</v>
      </c>
      <c r="E60" t="s">
        <v>24</v>
      </c>
      <c r="F60" t="s">
        <v>26</v>
      </c>
      <c r="G60" t="s">
        <v>61</v>
      </c>
      <c r="H60" t="s">
        <v>40</v>
      </c>
    </row>
    <row r="61" spans="2:8">
      <c r="B61">
        <v>0</v>
      </c>
      <c r="C61" s="3">
        <v>0.168</v>
      </c>
      <c r="D61" s="3">
        <v>0.031</v>
      </c>
      <c r="E61" s="3">
        <v>0.036</v>
      </c>
      <c r="F61" s="3">
        <v>0.008</v>
      </c>
      <c r="G61" s="3">
        <v>0.004</v>
      </c>
      <c r="H61" s="3">
        <v>0.247</v>
      </c>
    </row>
    <row r="62" spans="2:8">
      <c r="B62">
        <v>1</v>
      </c>
      <c r="C62" s="3">
        <v>0.085</v>
      </c>
      <c r="D62" s="3">
        <v>0.048</v>
      </c>
      <c r="E62" s="3">
        <v>0.072</v>
      </c>
      <c r="F62" s="3">
        <v>0.049</v>
      </c>
      <c r="G62" s="3">
        <v>0.013</v>
      </c>
      <c r="H62" s="3">
        <v>0.267</v>
      </c>
    </row>
    <row r="63" spans="2:8">
      <c r="B63">
        <v>2</v>
      </c>
      <c r="C63" s="3">
        <v>0.079</v>
      </c>
      <c r="D63" s="3">
        <v>0.075</v>
      </c>
      <c r="E63" s="3">
        <v>0.038</v>
      </c>
      <c r="F63" s="3">
        <v>0.107</v>
      </c>
      <c r="G63" s="3">
        <v>0.043</v>
      </c>
      <c r="H63" s="3">
        <v>0.342</v>
      </c>
    </row>
    <row r="64" spans="2:8">
      <c r="B64">
        <v>3</v>
      </c>
      <c r="C64" s="3">
        <v>0.018</v>
      </c>
      <c r="D64" s="3">
        <v>0.008</v>
      </c>
      <c r="E64" s="3">
        <v>0.008</v>
      </c>
      <c r="F64" s="3">
        <v>0.019</v>
      </c>
      <c r="G64" s="3">
        <v>0.032</v>
      </c>
      <c r="H64" s="3">
        <v>0.085</v>
      </c>
    </row>
    <row r="65" spans="2:9">
      <c r="B65">
        <v>4</v>
      </c>
      <c r="C65" s="3">
        <v>0.016</v>
      </c>
      <c r="D65" s="3">
        <v>0.007</v>
      </c>
      <c r="E65" s="3">
        <v>0.008</v>
      </c>
      <c r="F65" s="3">
        <v>0.009</v>
      </c>
      <c r="G65" s="3">
        <v>0.019</v>
      </c>
      <c r="H65" s="3">
        <v>0.059</v>
      </c>
    </row>
    <row r="66" spans="2:9">
      <c r="B66" t="s">
        <v>40</v>
      </c>
      <c r="C66" s="3">
        <v>0.366</v>
      </c>
      <c r="D66" s="3">
        <v>0.169</v>
      </c>
      <c r="E66" s="3">
        <v>0.162</v>
      </c>
      <c r="F66" s="3">
        <v>0.192</v>
      </c>
      <c r="G66" s="3">
        <v>0.111</v>
      </c>
      <c r="H66" s="3">
        <v>1</v>
      </c>
    </row>
    <row r="68" spans="2:9">
      <c r="B68" t="s">
        <v>12</v>
      </c>
      <c r="C68" t="s">
        <v>58</v>
      </c>
    </row>
    <row r="70" spans="2:9">
      <c r="B70" t="s">
        <v>44</v>
      </c>
      <c r="C70" t="s">
        <v>4</v>
      </c>
    </row>
    <row r="71" spans="2:9">
      <c r="B71" t="s">
        <v>1</v>
      </c>
      <c r="C71">
        <v>0</v>
      </c>
      <c r="D71">
        <v>1</v>
      </c>
      <c r="E71">
        <v>2</v>
      </c>
      <c r="F71">
        <v>3</v>
      </c>
      <c r="G71">
        <v>4</v>
      </c>
      <c r="H71">
        <v>5</v>
      </c>
      <c r="I71" t="s">
        <v>40</v>
      </c>
    </row>
    <row r="72" spans="2:9">
      <c r="B72" t="s">
        <v>63</v>
      </c>
      <c r="C72" s="3">
        <v>0.104</v>
      </c>
      <c r="D72" s="3">
        <v>0.12</v>
      </c>
      <c r="E72" s="3">
        <v>0.112</v>
      </c>
      <c r="F72" s="3">
        <v>0.069</v>
      </c>
      <c r="G72" s="3">
        <v>0.081</v>
      </c>
      <c r="H72" s="3">
        <v>0.052</v>
      </c>
      <c r="I72" s="3">
        <v>0.538</v>
      </c>
    </row>
    <row r="73" spans="2:9">
      <c r="B73" t="s">
        <v>64</v>
      </c>
      <c r="C73" s="3">
        <v>0.177</v>
      </c>
      <c r="D73" s="3">
        <v>0.049</v>
      </c>
      <c r="E73" s="3">
        <v>0.097</v>
      </c>
      <c r="F73" s="3">
        <v>0.065</v>
      </c>
      <c r="G73" s="3">
        <v>0.045</v>
      </c>
      <c r="H73" s="3">
        <v>0.029</v>
      </c>
      <c r="I73" s="3">
        <v>0.462</v>
      </c>
    </row>
    <row r="74" spans="2:9">
      <c r="B74" t="s">
        <v>40</v>
      </c>
      <c r="C74" s="3">
        <v>0.281</v>
      </c>
      <c r="D74" s="3">
        <v>0.169</v>
      </c>
      <c r="E74" s="3">
        <v>0.209</v>
      </c>
      <c r="F74" s="3">
        <v>0.134</v>
      </c>
      <c r="G74" s="3">
        <v>0.126</v>
      </c>
      <c r="H74" s="3">
        <v>0.081</v>
      </c>
      <c r="I74" s="3">
        <v>1</v>
      </c>
    </row>
    <row r="77" spans="2:9">
      <c r="B77" t="s">
        <v>12</v>
      </c>
      <c r="C77" t="s">
        <v>58</v>
      </c>
    </row>
    <row r="79" spans="2:9">
      <c r="B79" t="s">
        <v>65</v>
      </c>
      <c r="C79" t="s">
        <v>66</v>
      </c>
    </row>
    <row r="80" spans="2:9">
      <c r="B80" t="s">
        <v>45</v>
      </c>
      <c r="C80" t="s">
        <v>67</v>
      </c>
      <c r="D80" t="s">
        <v>68</v>
      </c>
      <c r="E80" t="s">
        <v>69</v>
      </c>
      <c r="F80" t="s">
        <v>40</v>
      </c>
    </row>
    <row r="81" spans="2:14">
      <c r="B81" t="s">
        <v>46</v>
      </c>
      <c r="C81" s="3">
        <v>0.128</v>
      </c>
      <c r="D81" s="3">
        <v>0.186</v>
      </c>
      <c r="E81" s="3">
        <v>0.461</v>
      </c>
      <c r="F81" s="3">
        <v>0.775</v>
      </c>
    </row>
    <row r="82" spans="2:14">
      <c r="B82" t="s">
        <v>48</v>
      </c>
      <c r="C82" s="3">
        <v>0.016</v>
      </c>
      <c r="D82" s="3">
        <v>0.031</v>
      </c>
      <c r="E82" s="3">
        <v>0.068</v>
      </c>
      <c r="F82" s="3">
        <v>0.115</v>
      </c>
    </row>
    <row r="83" spans="2:14">
      <c r="B83" t="s">
        <v>50</v>
      </c>
      <c r="C83" s="3">
        <v>0</v>
      </c>
      <c r="D83" s="3">
        <v>0.065</v>
      </c>
      <c r="E83" s="3">
        <v>0.045</v>
      </c>
      <c r="F83" s="3">
        <v>0.11</v>
      </c>
    </row>
    <row r="84" spans="2:14">
      <c r="B84" t="s">
        <v>40</v>
      </c>
      <c r="C84" s="3">
        <v>0.144</v>
      </c>
      <c r="D84" s="3">
        <v>0.282</v>
      </c>
      <c r="E84" s="3">
        <v>0.574</v>
      </c>
      <c r="F84" s="3">
        <v>1</v>
      </c>
    </row>
    <row r="88" spans="2:14">
      <c r="B88" t="s">
        <v>44</v>
      </c>
      <c r="C88" t="s">
        <v>59</v>
      </c>
    </row>
    <row r="89" spans="2:14">
      <c r="B89" t="s">
        <v>60</v>
      </c>
      <c r="C89" t="s">
        <v>20</v>
      </c>
      <c r="D89" t="s">
        <v>17</v>
      </c>
      <c r="E89" t="s">
        <v>40</v>
      </c>
    </row>
    <row r="90" spans="2:14">
      <c r="B90" s="10" t="s">
        <v>19</v>
      </c>
      <c r="C90" s="2">
        <v>0.152</v>
      </c>
      <c r="D90" s="2">
        <v>0.148</v>
      </c>
      <c r="E90" s="2">
        <v>0.3</v>
      </c>
    </row>
    <row r="91" spans="2:14">
      <c r="B91" s="11" t="s">
        <v>46</v>
      </c>
      <c r="C91" s="2">
        <v>0.11</v>
      </c>
      <c r="D91" s="2">
        <v>0.131</v>
      </c>
      <c r="E91" s="2">
        <v>0.241</v>
      </c>
    </row>
    <row r="92" spans="2:14">
      <c r="B92" s="11" t="s">
        <v>48</v>
      </c>
      <c r="C92" s="2">
        <v>0.019</v>
      </c>
      <c r="D92" s="2">
        <v>0.008</v>
      </c>
      <c r="E92" s="2">
        <v>0.027</v>
      </c>
    </row>
    <row r="93" spans="2:14">
      <c r="B93" s="11" t="s">
        <v>50</v>
      </c>
      <c r="C93" s="2">
        <v>0.023</v>
      </c>
      <c r="D93" s="2">
        <v>0.009</v>
      </c>
      <c r="E93" s="2">
        <v>0.032</v>
      </c>
    </row>
    <row r="94" spans="2:14">
      <c r="B94" s="10" t="s">
        <v>35</v>
      </c>
      <c r="C94" s="2">
        <v>0.288</v>
      </c>
      <c r="D94" s="2">
        <v>0.22</v>
      </c>
      <c r="E94" s="2">
        <v>0.508</v>
      </c>
      <c r="L94" t="s">
        <v>70</v>
      </c>
      <c r="M94" t="s">
        <v>12</v>
      </c>
    </row>
    <row r="95" spans="2:14">
      <c r="B95" s="11" t="s">
        <v>46</v>
      </c>
      <c r="C95" s="2">
        <v>0.198</v>
      </c>
      <c r="D95" s="2">
        <v>0.19</v>
      </c>
      <c r="E95" s="2">
        <v>0.388</v>
      </c>
      <c r="L95" t="s">
        <v>10</v>
      </c>
      <c r="M95" t="s">
        <v>20</v>
      </c>
      <c r="N95" t="s">
        <v>17</v>
      </c>
    </row>
    <row r="96" spans="2:14">
      <c r="B96" s="11" t="s">
        <v>48</v>
      </c>
      <c r="C96" s="2">
        <v>0.045</v>
      </c>
      <c r="D96" s="2">
        <v>0.018</v>
      </c>
      <c r="E96" s="2">
        <v>0.063</v>
      </c>
      <c r="L96" t="s">
        <v>19</v>
      </c>
      <c r="M96" s="3">
        <v>0.292870905587669</v>
      </c>
      <c r="N96" s="3">
        <v>0.307692307692308</v>
      </c>
    </row>
    <row r="97" spans="2:16">
      <c r="B97" s="11" t="s">
        <v>50</v>
      </c>
      <c r="C97" s="2">
        <v>0.045</v>
      </c>
      <c r="D97" s="2">
        <v>0.012</v>
      </c>
      <c r="E97" s="2">
        <v>0.057</v>
      </c>
      <c r="L97" t="s">
        <v>35</v>
      </c>
      <c r="M97" s="3">
        <v>0.554913294797688</v>
      </c>
      <c r="N97" s="3">
        <v>0.457380457380457</v>
      </c>
    </row>
    <row r="98" spans="2:16">
      <c r="B98" s="10" t="s">
        <v>27</v>
      </c>
      <c r="C98" s="2">
        <v>0.079</v>
      </c>
      <c r="D98" s="2">
        <v>0.113</v>
      </c>
      <c r="E98" s="2">
        <v>0.192</v>
      </c>
      <c r="L98" t="s">
        <v>27</v>
      </c>
      <c r="M98" s="3">
        <v>0.152215799614644</v>
      </c>
      <c r="N98" s="3">
        <v>0.234927234927235</v>
      </c>
    </row>
    <row r="99" spans="2:16">
      <c r="B99" s="11" t="s">
        <v>46</v>
      </c>
      <c r="C99" s="2">
        <v>0.062</v>
      </c>
      <c r="D99" s="2">
        <v>0.084</v>
      </c>
      <c r="E99" s="2">
        <v>0.146</v>
      </c>
      <c r="L99" t="s">
        <v>40</v>
      </c>
      <c r="M99" s="3">
        <v>1</v>
      </c>
      <c r="N99" s="3">
        <v>1</v>
      </c>
    </row>
    <row r="100" spans="2:16">
      <c r="B100" s="11" t="s">
        <v>48</v>
      </c>
      <c r="C100" s="2">
        <v>0.014</v>
      </c>
      <c r="D100" s="2">
        <v>0.011</v>
      </c>
      <c r="E100" s="2">
        <v>0.025</v>
      </c>
    </row>
    <row r="101" spans="2:16">
      <c r="B101" s="11" t="s">
        <v>50</v>
      </c>
      <c r="C101" s="2">
        <v>0.003</v>
      </c>
      <c r="D101" s="2">
        <v>0.018</v>
      </c>
      <c r="E101" s="2">
        <v>0.021</v>
      </c>
    </row>
    <row r="102" spans="2:16">
      <c r="B102" s="10" t="s">
        <v>40</v>
      </c>
      <c r="C102" s="2">
        <v>0.519</v>
      </c>
      <c r="D102" s="2">
        <v>0.481</v>
      </c>
      <c r="E102" s="2">
        <v>1</v>
      </c>
    </row>
    <row r="105" spans="2:16">
      <c r="L105" t="s">
        <v>71</v>
      </c>
      <c r="M105" t="s">
        <v>20</v>
      </c>
      <c r="N105" t="s">
        <v>17</v>
      </c>
      <c r="O105" t="s">
        <v>72</v>
      </c>
      <c r="P105" t="s">
        <v>73</v>
      </c>
    </row>
    <row r="106" spans="2:16">
      <c r="L106" t="s">
        <v>19</v>
      </c>
      <c r="M106">
        <v>152</v>
      </c>
      <c r="N106" s="5">
        <v>148</v>
      </c>
      <c r="O106">
        <f>(N106/300)*100</f>
        <v>49.3333333333333</v>
      </c>
      <c r="P106" t="s">
        <v>74</v>
      </c>
    </row>
    <row r="107" spans="2:16">
      <c r="L107" t="s">
        <v>35</v>
      </c>
      <c r="M107" s="5">
        <v>288</v>
      </c>
      <c r="N107" s="5">
        <v>220</v>
      </c>
      <c r="O107">
        <f>(N107/508)*100</f>
        <v>43.3070866141732</v>
      </c>
    </row>
    <row r="108" spans="2:16">
      <c r="L108" t="s">
        <v>27</v>
      </c>
      <c r="M108" s="5">
        <v>79</v>
      </c>
      <c r="N108" s="5">
        <v>113</v>
      </c>
      <c r="O108">
        <f>(N108/192)*100</f>
        <v>58.8541666666667</v>
      </c>
    </row>
  </sheetData>
  <pageMargins left="0.75" right="0.75" top="1" bottom="1" header="0.5" footer="0.5"/>
  <headerFooter/>
  <ignoredErrors>
    <ignoredError sqref="C16" formulaRange="1" calculatedColumn="1"/>
    <ignoredError sqref="L101:O104 L109:O119 K110:K119 B106:K109 J101:K105 B17:O17 D18:F18 I18:O18 F19:F22 K19:O22 F23:O23 B24:O24 B16 E4:O7 B8:O15 F85:O93 F94:K99 N94:O94 F100:O100 G79:O84 B78:O78 G75:O77 J74:O74 J70:J73 O59:O73 B69:J69 D68:J68 B67:J67 I60:J66 D59:J59 B58:O58 D57:O57 G54:O55 B56:O56 I53:O53 I49 J50 I52:J52 D48:J48 B47:J47 D46:O46 M45:O45 B45:J45 B38:O44 B37:E37 E30:E36 O28:O37 G27:O27 D25:O26 D16:O16" formulaRange="1"/>
  </ignoredErrors>
  <drawing r:id="rId10"/>
  <tableParts count="3"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zoomScale="126" zoomScaleNormal="126" topLeftCell="D892" workbookViewId="0">
      <selection activeCell="N897" sqref="N897"/>
    </sheetView>
  </sheetViews>
  <sheetFormatPr defaultColWidth="9.14285714285714" defaultRowHeight="15"/>
  <cols>
    <col min="1" max="1" width="6.57142857142857" customWidth="1"/>
    <col min="2" max="2" width="14.1428571428571" customWidth="1"/>
    <col min="3" max="3" width="8.14285714285714" customWidth="1"/>
    <col min="4" max="4" width="12.4285714285714" style="1"/>
    <col min="5" max="5" width="18.1428571428571" customWidth="1"/>
    <col min="6" max="6" width="9.14285714285714" customWidth="1"/>
    <col min="7" max="7" width="19" customWidth="1"/>
    <col min="8" max="8" width="15.1428571428571" customWidth="1"/>
    <col min="9" max="9" width="13.7142857142857" customWidth="1"/>
    <col min="11" max="11" width="19.2857142857143" customWidth="1"/>
    <col min="14" max="15" width="15.5714285714286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t="s">
        <v>66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45</v>
      </c>
      <c r="O1" t="s">
        <v>12</v>
      </c>
    </row>
    <row r="2" spans="1:15">
      <c r="A2">
        <v>12496</v>
      </c>
      <c r="B2" t="s">
        <v>63</v>
      </c>
      <c r="C2" t="s">
        <v>47</v>
      </c>
      <c r="D2" s="1">
        <v>40000</v>
      </c>
      <c r="E2" t="str" cm="1">
        <f t="array" ref="E2">_xlfn.IFS(D2&lt;40000,"Low Income",D2&lt;=80000,"Moderate Income",D2&gt;80000,"High Income")</f>
        <v>Moderate Income</v>
      </c>
      <c r="F2">
        <v>1</v>
      </c>
      <c r="G2" t="s">
        <v>15</v>
      </c>
      <c r="H2" t="s">
        <v>16</v>
      </c>
      <c r="I2" t="s">
        <v>17</v>
      </c>
      <c r="J2">
        <v>0</v>
      </c>
      <c r="K2" t="s">
        <v>18</v>
      </c>
      <c r="L2" t="s">
        <v>19</v>
      </c>
      <c r="M2">
        <v>42</v>
      </c>
      <c r="N2" t="str">
        <f>IF(M2&gt;=60,"Seniors",IF(M2&gt;30,"Middle-Aged",IF(M2&lt;=30,"Young Adults")))</f>
        <v>Middle-Aged</v>
      </c>
      <c r="O2" t="s">
        <v>20</v>
      </c>
    </row>
    <row r="3" spans="1:15">
      <c r="A3">
        <v>24107</v>
      </c>
      <c r="B3" t="s">
        <v>63</v>
      </c>
      <c r="C3" t="s">
        <v>49</v>
      </c>
      <c r="D3" s="1">
        <v>30000</v>
      </c>
      <c r="E3" t="str" cm="1">
        <f t="array" ref="E3">_xlfn.IFS(D3&lt;40000,"Low Income",D3&lt;=80000,"Moderate Income",D3&gt;80000,"High Income")</f>
        <v>Low Income</v>
      </c>
      <c r="F3">
        <v>3</v>
      </c>
      <c r="G3" t="s">
        <v>21</v>
      </c>
      <c r="H3" t="s">
        <v>22</v>
      </c>
      <c r="I3" t="s">
        <v>17</v>
      </c>
      <c r="J3">
        <v>1</v>
      </c>
      <c r="K3" t="s">
        <v>18</v>
      </c>
      <c r="L3" t="s">
        <v>19</v>
      </c>
      <c r="M3">
        <v>43</v>
      </c>
      <c r="N3" t="str">
        <f t="shared" ref="N3:N66" si="0">IF(M3&gt;=60,"Seniors",IF(M3&gt;30,"Middle-Aged",IF(M3&lt;=30,"Young Adults")))</f>
        <v>Middle-Aged</v>
      </c>
      <c r="O3" t="s">
        <v>20</v>
      </c>
    </row>
    <row r="4" spans="1:15">
      <c r="A4">
        <v>14177</v>
      </c>
      <c r="B4" t="s">
        <v>63</v>
      </c>
      <c r="C4" t="s">
        <v>49</v>
      </c>
      <c r="D4" s="1">
        <v>80000</v>
      </c>
      <c r="E4" t="str" cm="1">
        <f t="array" ref="E4">_xlfn.IFS(D4&lt;40000,"Low Income",D4&lt;=80000,"Moderate Income",D4&gt;80000,"High Income")</f>
        <v>Moderate Income</v>
      </c>
      <c r="F4">
        <v>5</v>
      </c>
      <c r="G4" t="s">
        <v>21</v>
      </c>
      <c r="H4" t="s">
        <v>23</v>
      </c>
      <c r="I4" t="s">
        <v>20</v>
      </c>
      <c r="J4">
        <v>2</v>
      </c>
      <c r="K4" t="s">
        <v>24</v>
      </c>
      <c r="L4" t="s">
        <v>19</v>
      </c>
      <c r="M4">
        <v>60</v>
      </c>
      <c r="N4" t="str">
        <f t="shared" si="0"/>
        <v>Seniors</v>
      </c>
      <c r="O4" t="s">
        <v>20</v>
      </c>
    </row>
    <row r="5" spans="1:15">
      <c r="A5">
        <v>24381</v>
      </c>
      <c r="B5" t="s">
        <v>64</v>
      </c>
      <c r="C5" t="s">
        <v>49</v>
      </c>
      <c r="D5" s="1">
        <v>70000</v>
      </c>
      <c r="E5" t="str" cm="1">
        <f t="array" ref="E5">_xlfn.IFS(D5&lt;40000,"Low Income",D5&lt;=80000,"Moderate Income",D5&gt;80000,"High Income")</f>
        <v>Moderate Income</v>
      </c>
      <c r="F5">
        <v>0</v>
      </c>
      <c r="G5" t="s">
        <v>15</v>
      </c>
      <c r="H5" t="s">
        <v>23</v>
      </c>
      <c r="I5" t="s">
        <v>17</v>
      </c>
      <c r="J5">
        <v>1</v>
      </c>
      <c r="K5" t="s">
        <v>26</v>
      </c>
      <c r="L5" t="s">
        <v>27</v>
      </c>
      <c r="M5">
        <v>41</v>
      </c>
      <c r="N5" t="str">
        <f t="shared" si="0"/>
        <v>Middle-Aged</v>
      </c>
      <c r="O5" t="s">
        <v>17</v>
      </c>
    </row>
    <row r="6" spans="1:15">
      <c r="A6">
        <v>25597</v>
      </c>
      <c r="B6" t="s">
        <v>64</v>
      </c>
      <c r="C6" t="s">
        <v>49</v>
      </c>
      <c r="D6" s="1">
        <v>30000</v>
      </c>
      <c r="E6" t="str" cm="1">
        <f t="array" ref="E6">_xlfn.IFS(D6&lt;40000,"Low Income",D6&lt;=80000,"Moderate Income",D6&gt;80000,"High Income")</f>
        <v>Low Income</v>
      </c>
      <c r="F6">
        <v>0</v>
      </c>
      <c r="G6" t="s">
        <v>15</v>
      </c>
      <c r="H6" t="s">
        <v>22</v>
      </c>
      <c r="I6" t="s">
        <v>20</v>
      </c>
      <c r="J6">
        <v>0</v>
      </c>
      <c r="K6" t="s">
        <v>18</v>
      </c>
      <c r="L6" t="s">
        <v>19</v>
      </c>
      <c r="M6">
        <v>36</v>
      </c>
      <c r="N6" t="str">
        <f t="shared" si="0"/>
        <v>Middle-Aged</v>
      </c>
      <c r="O6" t="s">
        <v>17</v>
      </c>
    </row>
    <row r="7" spans="1:15">
      <c r="A7">
        <v>13507</v>
      </c>
      <c r="B7" t="s">
        <v>63</v>
      </c>
      <c r="C7" t="s">
        <v>47</v>
      </c>
      <c r="D7" s="1">
        <v>10000</v>
      </c>
      <c r="E7" t="str" cm="1">
        <f t="array" ref="E7">_xlfn.IFS(D7&lt;40000,"Low Income",D7&lt;=80000,"Moderate Income",D7&gt;80000,"High Income")</f>
        <v>Low Income</v>
      </c>
      <c r="F7">
        <v>2</v>
      </c>
      <c r="G7" t="s">
        <v>21</v>
      </c>
      <c r="H7" t="s">
        <v>28</v>
      </c>
      <c r="I7" t="s">
        <v>17</v>
      </c>
      <c r="J7">
        <v>0</v>
      </c>
      <c r="K7" t="s">
        <v>29</v>
      </c>
      <c r="L7" t="s">
        <v>19</v>
      </c>
      <c r="M7">
        <v>50</v>
      </c>
      <c r="N7" t="str">
        <f t="shared" si="0"/>
        <v>Middle-Aged</v>
      </c>
      <c r="O7" t="s">
        <v>20</v>
      </c>
    </row>
    <row r="8" spans="1:15">
      <c r="A8">
        <v>27974</v>
      </c>
      <c r="B8" t="s">
        <v>64</v>
      </c>
      <c r="C8" t="s">
        <v>49</v>
      </c>
      <c r="D8" s="1">
        <v>160000</v>
      </c>
      <c r="E8" t="str" cm="1">
        <f t="array" ref="E8">_xlfn.IFS(D8&lt;40000,"Low Income",D8&lt;=80000,"Moderate Income",D8&gt;80000,"High Income")</f>
        <v>High Income</v>
      </c>
      <c r="F8">
        <v>2</v>
      </c>
      <c r="G8" t="s">
        <v>30</v>
      </c>
      <c r="H8" t="s">
        <v>31</v>
      </c>
      <c r="I8" t="s">
        <v>17</v>
      </c>
      <c r="J8">
        <v>4</v>
      </c>
      <c r="K8" t="s">
        <v>18</v>
      </c>
      <c r="L8" t="s">
        <v>27</v>
      </c>
      <c r="M8">
        <v>33</v>
      </c>
      <c r="N8" t="str">
        <f t="shared" si="0"/>
        <v>Middle-Aged</v>
      </c>
      <c r="O8" t="s">
        <v>17</v>
      </c>
    </row>
    <row r="9" spans="1:15">
      <c r="A9">
        <v>19364</v>
      </c>
      <c r="B9" t="s">
        <v>63</v>
      </c>
      <c r="C9" t="s">
        <v>49</v>
      </c>
      <c r="D9" s="1">
        <v>40000</v>
      </c>
      <c r="E9" t="str" cm="1">
        <f t="array" ref="E9">_xlfn.IFS(D9&lt;40000,"Low Income",D9&lt;=80000,"Moderate Income",D9&gt;80000,"High Income")</f>
        <v>Moderate Income</v>
      </c>
      <c r="F9">
        <v>1</v>
      </c>
      <c r="G9" t="s">
        <v>15</v>
      </c>
      <c r="H9" t="s">
        <v>16</v>
      </c>
      <c r="I9" t="s">
        <v>17</v>
      </c>
      <c r="J9">
        <v>0</v>
      </c>
      <c r="K9" t="s">
        <v>18</v>
      </c>
      <c r="L9" t="s">
        <v>19</v>
      </c>
      <c r="M9">
        <v>43</v>
      </c>
      <c r="N9" t="str">
        <f t="shared" si="0"/>
        <v>Middle-Aged</v>
      </c>
      <c r="O9" t="s">
        <v>17</v>
      </c>
    </row>
    <row r="10" spans="1:15">
      <c r="A10">
        <v>22155</v>
      </c>
      <c r="B10" t="s">
        <v>63</v>
      </c>
      <c r="C10" t="s">
        <v>49</v>
      </c>
      <c r="D10" s="1">
        <v>20000</v>
      </c>
      <c r="E10" t="str" cm="1">
        <f t="array" ref="E10">_xlfn.IFS(D10&lt;40000,"Low Income",D10&lt;=80000,"Moderate Income",D10&gt;80000,"High Income")</f>
        <v>Low Income</v>
      </c>
      <c r="F10">
        <v>2</v>
      </c>
      <c r="G10" t="s">
        <v>32</v>
      </c>
      <c r="H10" t="s">
        <v>22</v>
      </c>
      <c r="I10" t="s">
        <v>17</v>
      </c>
      <c r="J10">
        <v>2</v>
      </c>
      <c r="K10" t="s">
        <v>26</v>
      </c>
      <c r="L10" t="s">
        <v>27</v>
      </c>
      <c r="M10">
        <v>58</v>
      </c>
      <c r="N10" t="str">
        <f t="shared" si="0"/>
        <v>Middle-Aged</v>
      </c>
      <c r="O10" t="s">
        <v>20</v>
      </c>
    </row>
    <row r="11" spans="1:15">
      <c r="A11">
        <v>19280</v>
      </c>
      <c r="B11" t="s">
        <v>63</v>
      </c>
      <c r="C11" t="s">
        <v>49</v>
      </c>
      <c r="D11" s="1">
        <v>120000</v>
      </c>
      <c r="E11" t="str" cm="1">
        <f t="array" ref="E11">_xlfn.IFS(D11&lt;40000,"Low Income",D11&lt;=80000,"Moderate Income",D11&gt;80000,"High Income")</f>
        <v>High Income</v>
      </c>
      <c r="F11">
        <v>2</v>
      </c>
      <c r="G11" t="s">
        <v>21</v>
      </c>
      <c r="H11" t="s">
        <v>28</v>
      </c>
      <c r="I11" t="s">
        <v>17</v>
      </c>
      <c r="J11">
        <v>1</v>
      </c>
      <c r="K11" t="s">
        <v>18</v>
      </c>
      <c r="L11" t="s">
        <v>19</v>
      </c>
      <c r="M11">
        <v>40</v>
      </c>
      <c r="N11" t="str">
        <f t="shared" si="0"/>
        <v>Middle-Aged</v>
      </c>
      <c r="O11" t="s">
        <v>17</v>
      </c>
    </row>
    <row r="12" spans="1:15">
      <c r="A12">
        <v>22173</v>
      </c>
      <c r="B12" t="s">
        <v>63</v>
      </c>
      <c r="C12" t="s">
        <v>47</v>
      </c>
      <c r="D12" s="1">
        <v>30000</v>
      </c>
      <c r="E12" t="str" cm="1">
        <f t="array" ref="E12">_xlfn.IFS(D12&lt;40000,"Low Income",D12&lt;=80000,"Moderate Income",D12&gt;80000,"High Income")</f>
        <v>Low Income</v>
      </c>
      <c r="F12">
        <v>3</v>
      </c>
      <c r="G12" t="s">
        <v>30</v>
      </c>
      <c r="H12" t="s">
        <v>16</v>
      </c>
      <c r="I12" t="s">
        <v>20</v>
      </c>
      <c r="J12">
        <v>2</v>
      </c>
      <c r="K12" t="s">
        <v>29</v>
      </c>
      <c r="L12" t="s">
        <v>27</v>
      </c>
      <c r="M12">
        <v>54</v>
      </c>
      <c r="N12" t="str">
        <f t="shared" si="0"/>
        <v>Middle-Aged</v>
      </c>
      <c r="O12" t="s">
        <v>17</v>
      </c>
    </row>
    <row r="13" spans="1:15">
      <c r="A13">
        <v>12697</v>
      </c>
      <c r="B13" t="s">
        <v>64</v>
      </c>
      <c r="C13" t="s">
        <v>47</v>
      </c>
      <c r="D13" s="1">
        <v>90000</v>
      </c>
      <c r="E13" t="str" cm="1">
        <f t="array" ref="E13">_xlfn.IFS(D13&lt;40000,"Low Income",D13&lt;=80000,"Moderate Income",D13&gt;80000,"High Income")</f>
        <v>High Income</v>
      </c>
      <c r="F13">
        <v>0</v>
      </c>
      <c r="G13" t="s">
        <v>15</v>
      </c>
      <c r="H13" t="s">
        <v>23</v>
      </c>
      <c r="I13" t="s">
        <v>20</v>
      </c>
      <c r="J13">
        <v>4</v>
      </c>
      <c r="K13" t="s">
        <v>61</v>
      </c>
      <c r="L13" t="s">
        <v>27</v>
      </c>
      <c r="M13">
        <v>36</v>
      </c>
      <c r="N13" t="str">
        <f t="shared" si="0"/>
        <v>Middle-Aged</v>
      </c>
      <c r="O13" t="s">
        <v>20</v>
      </c>
    </row>
    <row r="14" spans="1:15">
      <c r="A14">
        <v>11434</v>
      </c>
      <c r="B14" t="s">
        <v>63</v>
      </c>
      <c r="C14" t="s">
        <v>49</v>
      </c>
      <c r="D14" s="1">
        <v>170000</v>
      </c>
      <c r="E14" t="str" cm="1">
        <f t="array" ref="E14">_xlfn.IFS(D14&lt;40000,"Low Income",D14&lt;=80000,"Moderate Income",D14&gt;80000,"High Income")</f>
        <v>High Income</v>
      </c>
      <c r="F14">
        <v>5</v>
      </c>
      <c r="G14" t="s">
        <v>21</v>
      </c>
      <c r="H14" t="s">
        <v>23</v>
      </c>
      <c r="I14" t="s">
        <v>17</v>
      </c>
      <c r="J14">
        <v>0</v>
      </c>
      <c r="K14" t="s">
        <v>18</v>
      </c>
      <c r="L14" t="s">
        <v>19</v>
      </c>
      <c r="M14">
        <v>55</v>
      </c>
      <c r="N14" t="str">
        <f t="shared" si="0"/>
        <v>Middle-Aged</v>
      </c>
      <c r="O14" t="s">
        <v>20</v>
      </c>
    </row>
    <row r="15" spans="1:15">
      <c r="A15">
        <v>25323</v>
      </c>
      <c r="B15" t="s">
        <v>63</v>
      </c>
      <c r="C15" t="s">
        <v>49</v>
      </c>
      <c r="D15" s="1">
        <v>40000</v>
      </c>
      <c r="E15" t="str" cm="1">
        <f t="array" ref="E15">_xlfn.IFS(D15&lt;40000,"Low Income",D15&lt;=80000,"Moderate Income",D15&gt;80000,"High Income")</f>
        <v>Moderate Income</v>
      </c>
      <c r="F15">
        <v>2</v>
      </c>
      <c r="G15" t="s">
        <v>21</v>
      </c>
      <c r="H15" t="s">
        <v>22</v>
      </c>
      <c r="I15" t="s">
        <v>17</v>
      </c>
      <c r="J15">
        <v>1</v>
      </c>
      <c r="K15" t="s">
        <v>29</v>
      </c>
      <c r="L15" t="s">
        <v>19</v>
      </c>
      <c r="M15">
        <v>35</v>
      </c>
      <c r="N15" t="str">
        <f t="shared" si="0"/>
        <v>Middle-Aged</v>
      </c>
      <c r="O15" t="s">
        <v>17</v>
      </c>
    </row>
    <row r="16" spans="1:15">
      <c r="A16">
        <v>23542</v>
      </c>
      <c r="B16" t="s">
        <v>64</v>
      </c>
      <c r="C16" t="s">
        <v>49</v>
      </c>
      <c r="D16" s="1">
        <v>60000</v>
      </c>
      <c r="E16" t="str" cm="1">
        <f t="array" ref="E16">_xlfn.IFS(D16&lt;40000,"Low Income",D16&lt;=80000,"Moderate Income",D16&gt;80000,"High Income")</f>
        <v>Moderate Income</v>
      </c>
      <c r="F16">
        <v>1</v>
      </c>
      <c r="G16" t="s">
        <v>21</v>
      </c>
      <c r="H16" t="s">
        <v>16</v>
      </c>
      <c r="I16" t="s">
        <v>20</v>
      </c>
      <c r="J16">
        <v>1</v>
      </c>
      <c r="K16" t="s">
        <v>18</v>
      </c>
      <c r="L16" t="s">
        <v>27</v>
      </c>
      <c r="M16">
        <v>45</v>
      </c>
      <c r="N16" t="str">
        <f t="shared" si="0"/>
        <v>Middle-Aged</v>
      </c>
      <c r="O16" t="s">
        <v>17</v>
      </c>
    </row>
    <row r="17" spans="1:15">
      <c r="A17">
        <v>20870</v>
      </c>
      <c r="B17" t="s">
        <v>64</v>
      </c>
      <c r="C17" t="s">
        <v>47</v>
      </c>
      <c r="D17" s="1">
        <v>10000</v>
      </c>
      <c r="E17" t="str" cm="1">
        <f t="array" ref="E17">_xlfn.IFS(D17&lt;40000,"Low Income",D17&lt;=80000,"Moderate Income",D17&gt;80000,"High Income")</f>
        <v>Low Income</v>
      </c>
      <c r="F17">
        <v>2</v>
      </c>
      <c r="G17" t="s">
        <v>30</v>
      </c>
      <c r="H17" t="s">
        <v>28</v>
      </c>
      <c r="I17" t="s">
        <v>17</v>
      </c>
      <c r="J17">
        <v>1</v>
      </c>
      <c r="K17" t="s">
        <v>18</v>
      </c>
      <c r="L17" t="s">
        <v>19</v>
      </c>
      <c r="M17">
        <v>38</v>
      </c>
      <c r="N17" t="str">
        <f t="shared" si="0"/>
        <v>Middle-Aged</v>
      </c>
      <c r="O17" t="s">
        <v>17</v>
      </c>
    </row>
    <row r="18" spans="1:15">
      <c r="A18">
        <v>23316</v>
      </c>
      <c r="B18" t="s">
        <v>64</v>
      </c>
      <c r="C18" t="s">
        <v>49</v>
      </c>
      <c r="D18" s="1">
        <v>30000</v>
      </c>
      <c r="E18" t="str" cm="1">
        <f t="array" ref="E18">_xlfn.IFS(D18&lt;40000,"Low Income",D18&lt;=80000,"Moderate Income",D18&gt;80000,"High Income")</f>
        <v>Low Income</v>
      </c>
      <c r="F18">
        <v>3</v>
      </c>
      <c r="G18" t="s">
        <v>21</v>
      </c>
      <c r="H18" t="s">
        <v>22</v>
      </c>
      <c r="I18" t="s">
        <v>20</v>
      </c>
      <c r="J18">
        <v>2</v>
      </c>
      <c r="K18" t="s">
        <v>29</v>
      </c>
      <c r="L18" t="s">
        <v>27</v>
      </c>
      <c r="M18">
        <v>59</v>
      </c>
      <c r="N18" t="str">
        <f t="shared" si="0"/>
        <v>Middle-Aged</v>
      </c>
      <c r="O18" t="s">
        <v>17</v>
      </c>
    </row>
    <row r="19" spans="1:15">
      <c r="A19">
        <v>12610</v>
      </c>
      <c r="B19" t="s">
        <v>63</v>
      </c>
      <c r="C19" t="s">
        <v>47</v>
      </c>
      <c r="D19" s="1">
        <v>30000</v>
      </c>
      <c r="E19" t="str" cm="1">
        <f t="array" ref="E19">_xlfn.IFS(D19&lt;40000,"Low Income",D19&lt;=80000,"Moderate Income",D19&gt;80000,"High Income")</f>
        <v>Low Income</v>
      </c>
      <c r="F19">
        <v>1</v>
      </c>
      <c r="G19" t="s">
        <v>15</v>
      </c>
      <c r="H19" t="s">
        <v>22</v>
      </c>
      <c r="I19" t="s">
        <v>17</v>
      </c>
      <c r="J19">
        <v>0</v>
      </c>
      <c r="K19" t="s">
        <v>18</v>
      </c>
      <c r="L19" t="s">
        <v>19</v>
      </c>
      <c r="M19">
        <v>47</v>
      </c>
      <c r="N19" t="str">
        <f t="shared" si="0"/>
        <v>Middle-Aged</v>
      </c>
      <c r="O19" t="s">
        <v>20</v>
      </c>
    </row>
    <row r="20" spans="1:15">
      <c r="A20">
        <v>27183</v>
      </c>
      <c r="B20" t="s">
        <v>64</v>
      </c>
      <c r="C20" t="s">
        <v>49</v>
      </c>
      <c r="D20" s="1">
        <v>40000</v>
      </c>
      <c r="E20" t="str" cm="1">
        <f t="array" ref="E20">_xlfn.IFS(D20&lt;40000,"Low Income",D20&lt;=80000,"Moderate Income",D20&gt;80000,"High Income")</f>
        <v>Moderate Income</v>
      </c>
      <c r="F20">
        <v>2</v>
      </c>
      <c r="G20" t="s">
        <v>21</v>
      </c>
      <c r="H20" t="s">
        <v>22</v>
      </c>
      <c r="I20" t="s">
        <v>17</v>
      </c>
      <c r="J20">
        <v>1</v>
      </c>
      <c r="K20" t="s">
        <v>29</v>
      </c>
      <c r="L20" t="s">
        <v>19</v>
      </c>
      <c r="M20">
        <v>35</v>
      </c>
      <c r="N20" t="str">
        <f t="shared" si="0"/>
        <v>Middle-Aged</v>
      </c>
      <c r="O20" t="s">
        <v>17</v>
      </c>
    </row>
    <row r="21" spans="1:15">
      <c r="A21">
        <v>25940</v>
      </c>
      <c r="B21" t="s">
        <v>64</v>
      </c>
      <c r="C21" t="s">
        <v>49</v>
      </c>
      <c r="D21" s="1">
        <v>20000</v>
      </c>
      <c r="E21" t="str" cm="1">
        <f t="array" ref="E21">_xlfn.IFS(D21&lt;40000,"Low Income",D21&lt;=80000,"Moderate Income",D21&gt;80000,"High Income")</f>
        <v>Low Income</v>
      </c>
      <c r="F21">
        <v>2</v>
      </c>
      <c r="G21" t="s">
        <v>32</v>
      </c>
      <c r="H21" t="s">
        <v>22</v>
      </c>
      <c r="I21" t="s">
        <v>17</v>
      </c>
      <c r="J21">
        <v>2</v>
      </c>
      <c r="K21" t="s">
        <v>26</v>
      </c>
      <c r="L21" t="s">
        <v>27</v>
      </c>
      <c r="M21">
        <v>55</v>
      </c>
      <c r="N21" t="str">
        <f t="shared" si="0"/>
        <v>Middle-Aged</v>
      </c>
      <c r="O21" t="s">
        <v>17</v>
      </c>
    </row>
    <row r="22" spans="1:15">
      <c r="A22">
        <v>25598</v>
      </c>
      <c r="B22" t="s">
        <v>63</v>
      </c>
      <c r="C22" t="s">
        <v>47</v>
      </c>
      <c r="D22" s="1">
        <v>40000</v>
      </c>
      <c r="E22" t="str" cm="1">
        <f t="array" ref="E22">_xlfn.IFS(D22&lt;40000,"Low Income",D22&lt;=80000,"Moderate Income",D22&gt;80000,"High Income")</f>
        <v>Moderate Income</v>
      </c>
      <c r="F22">
        <v>0</v>
      </c>
      <c r="G22" t="s">
        <v>34</v>
      </c>
      <c r="H22" t="s">
        <v>22</v>
      </c>
      <c r="I22" t="s">
        <v>17</v>
      </c>
      <c r="J22">
        <v>0</v>
      </c>
      <c r="K22" t="s">
        <v>18</v>
      </c>
      <c r="L22" t="s">
        <v>19</v>
      </c>
      <c r="M22">
        <v>36</v>
      </c>
      <c r="N22" t="str">
        <f t="shared" si="0"/>
        <v>Middle-Aged</v>
      </c>
      <c r="O22" t="s">
        <v>17</v>
      </c>
    </row>
    <row r="23" spans="1:15">
      <c r="A23">
        <v>21564</v>
      </c>
      <c r="B23" t="s">
        <v>64</v>
      </c>
      <c r="C23" t="s">
        <v>47</v>
      </c>
      <c r="D23" s="1">
        <v>80000</v>
      </c>
      <c r="E23" t="str" cm="1">
        <f t="array" ref="E23">_xlfn.IFS(D23&lt;40000,"Low Income",D23&lt;=80000,"Moderate Income",D23&gt;80000,"High Income")</f>
        <v>Moderate Income</v>
      </c>
      <c r="F23">
        <v>0</v>
      </c>
      <c r="G23" t="s">
        <v>15</v>
      </c>
      <c r="H23" t="s">
        <v>23</v>
      </c>
      <c r="I23" t="s">
        <v>17</v>
      </c>
      <c r="J23">
        <v>4</v>
      </c>
      <c r="K23" t="s">
        <v>61</v>
      </c>
      <c r="L23" t="s">
        <v>27</v>
      </c>
      <c r="M23">
        <v>35</v>
      </c>
      <c r="N23" t="str">
        <f t="shared" si="0"/>
        <v>Middle-Aged</v>
      </c>
      <c r="O23" t="s">
        <v>20</v>
      </c>
    </row>
    <row r="24" spans="1:15">
      <c r="A24">
        <v>19193</v>
      </c>
      <c r="B24" t="s">
        <v>64</v>
      </c>
      <c r="C24" t="s">
        <v>49</v>
      </c>
      <c r="D24" s="1">
        <v>40000</v>
      </c>
      <c r="E24" t="str" cm="1">
        <f t="array" ref="E24">_xlfn.IFS(D24&lt;40000,"Low Income",D24&lt;=80000,"Moderate Income",D24&gt;80000,"High Income")</f>
        <v>Moderate Income</v>
      </c>
      <c r="F24">
        <v>2</v>
      </c>
      <c r="G24" t="s">
        <v>21</v>
      </c>
      <c r="H24" t="s">
        <v>22</v>
      </c>
      <c r="I24" t="s">
        <v>17</v>
      </c>
      <c r="J24">
        <v>0</v>
      </c>
      <c r="K24" t="s">
        <v>29</v>
      </c>
      <c r="L24" t="s">
        <v>19</v>
      </c>
      <c r="M24">
        <v>35</v>
      </c>
      <c r="N24" t="str">
        <f t="shared" si="0"/>
        <v>Middle-Aged</v>
      </c>
      <c r="O24" t="s">
        <v>17</v>
      </c>
    </row>
    <row r="25" spans="1:15">
      <c r="A25">
        <v>26412</v>
      </c>
      <c r="B25" t="s">
        <v>63</v>
      </c>
      <c r="C25" t="s">
        <v>47</v>
      </c>
      <c r="D25" s="1">
        <v>80000</v>
      </c>
      <c r="E25" t="str" cm="1">
        <f t="array" ref="E25">_xlfn.IFS(D25&lt;40000,"Low Income",D25&lt;=80000,"Moderate Income",D25&gt;80000,"High Income")</f>
        <v>Moderate Income</v>
      </c>
      <c r="F25">
        <v>5</v>
      </c>
      <c r="G25" t="s">
        <v>30</v>
      </c>
      <c r="H25" t="s">
        <v>31</v>
      </c>
      <c r="I25" t="s">
        <v>20</v>
      </c>
      <c r="J25">
        <v>3</v>
      </c>
      <c r="K25" t="s">
        <v>26</v>
      </c>
      <c r="L25" t="s">
        <v>19</v>
      </c>
      <c r="M25">
        <v>56</v>
      </c>
      <c r="N25" t="str">
        <f t="shared" si="0"/>
        <v>Middle-Aged</v>
      </c>
      <c r="O25" t="s">
        <v>20</v>
      </c>
    </row>
    <row r="26" spans="1:15">
      <c r="A26">
        <v>27184</v>
      </c>
      <c r="B26" t="s">
        <v>64</v>
      </c>
      <c r="C26" t="s">
        <v>49</v>
      </c>
      <c r="D26" s="1">
        <v>40000</v>
      </c>
      <c r="E26" t="str" cm="1">
        <f t="array" ref="E26">_xlfn.IFS(D26&lt;40000,"Low Income",D26&lt;=80000,"Moderate Income",D26&gt;80000,"High Income")</f>
        <v>Moderate Income</v>
      </c>
      <c r="F26">
        <v>2</v>
      </c>
      <c r="G26" t="s">
        <v>21</v>
      </c>
      <c r="H26" t="s">
        <v>22</v>
      </c>
      <c r="I26" t="s">
        <v>20</v>
      </c>
      <c r="J26">
        <v>1</v>
      </c>
      <c r="K26" t="s">
        <v>18</v>
      </c>
      <c r="L26" t="s">
        <v>19</v>
      </c>
      <c r="M26">
        <v>34</v>
      </c>
      <c r="N26" t="str">
        <f t="shared" si="0"/>
        <v>Middle-Aged</v>
      </c>
      <c r="O26" t="s">
        <v>20</v>
      </c>
    </row>
    <row r="27" spans="1:15">
      <c r="A27">
        <v>12590</v>
      </c>
      <c r="B27" t="s">
        <v>64</v>
      </c>
      <c r="C27" t="s">
        <v>49</v>
      </c>
      <c r="D27" s="1">
        <v>30000</v>
      </c>
      <c r="E27" t="str" cm="1">
        <f t="array" ref="E27">_xlfn.IFS(D27&lt;40000,"Low Income",D27&lt;=80000,"Moderate Income",D27&gt;80000,"High Income")</f>
        <v>Low Income</v>
      </c>
      <c r="F27">
        <v>1</v>
      </c>
      <c r="G27" t="s">
        <v>15</v>
      </c>
      <c r="H27" t="s">
        <v>22</v>
      </c>
      <c r="I27" t="s">
        <v>17</v>
      </c>
      <c r="J27">
        <v>0</v>
      </c>
      <c r="K27" t="s">
        <v>18</v>
      </c>
      <c r="L27" t="s">
        <v>19</v>
      </c>
      <c r="M27">
        <v>63</v>
      </c>
      <c r="N27" t="str">
        <f t="shared" si="0"/>
        <v>Seniors</v>
      </c>
      <c r="O27" t="s">
        <v>20</v>
      </c>
    </row>
    <row r="28" spans="1:15">
      <c r="A28">
        <v>17841</v>
      </c>
      <c r="B28" t="s">
        <v>64</v>
      </c>
      <c r="C28" t="s">
        <v>49</v>
      </c>
      <c r="D28" s="1">
        <v>30000</v>
      </c>
      <c r="E28" t="str" cm="1">
        <f t="array" ref="E28">_xlfn.IFS(D28&lt;40000,"Low Income",D28&lt;=80000,"Moderate Income",D28&gt;80000,"High Income")</f>
        <v>Low Income</v>
      </c>
      <c r="F28">
        <v>0</v>
      </c>
      <c r="G28" t="s">
        <v>21</v>
      </c>
      <c r="H28" t="s">
        <v>22</v>
      </c>
      <c r="I28" t="s">
        <v>20</v>
      </c>
      <c r="J28">
        <v>1</v>
      </c>
      <c r="K28" t="s">
        <v>18</v>
      </c>
      <c r="L28" t="s">
        <v>19</v>
      </c>
      <c r="M28">
        <v>29</v>
      </c>
      <c r="N28" t="str">
        <f t="shared" si="0"/>
        <v>Young Adults</v>
      </c>
      <c r="O28" t="s">
        <v>17</v>
      </c>
    </row>
    <row r="29" spans="1:15">
      <c r="A29">
        <v>18283</v>
      </c>
      <c r="B29" t="s">
        <v>64</v>
      </c>
      <c r="C29" t="s">
        <v>47</v>
      </c>
      <c r="D29" s="1">
        <v>100000</v>
      </c>
      <c r="E29" t="str" cm="1">
        <f t="array" ref="E29">_xlfn.IFS(D29&lt;40000,"Low Income",D29&lt;=80000,"Moderate Income",D29&gt;80000,"High Income")</f>
        <v>High Income</v>
      </c>
      <c r="F29">
        <v>0</v>
      </c>
      <c r="G29" t="s">
        <v>15</v>
      </c>
      <c r="H29" t="s">
        <v>23</v>
      </c>
      <c r="I29" t="s">
        <v>20</v>
      </c>
      <c r="J29">
        <v>1</v>
      </c>
      <c r="K29" t="s">
        <v>26</v>
      </c>
      <c r="L29" t="s">
        <v>27</v>
      </c>
      <c r="M29">
        <v>40</v>
      </c>
      <c r="N29" t="str">
        <f t="shared" si="0"/>
        <v>Middle-Aged</v>
      </c>
      <c r="O29" t="s">
        <v>20</v>
      </c>
    </row>
    <row r="30" spans="1:15">
      <c r="A30">
        <v>18299</v>
      </c>
      <c r="B30" t="s">
        <v>63</v>
      </c>
      <c r="C30" t="s">
        <v>49</v>
      </c>
      <c r="D30" s="1">
        <v>70000</v>
      </c>
      <c r="E30" t="str" cm="1">
        <f t="array" ref="E30">_xlfn.IFS(D30&lt;40000,"Low Income",D30&lt;=80000,"Moderate Income",D30&gt;80000,"High Income")</f>
        <v>Moderate Income</v>
      </c>
      <c r="F30">
        <v>5</v>
      </c>
      <c r="G30" t="s">
        <v>21</v>
      </c>
      <c r="H30" t="s">
        <v>16</v>
      </c>
      <c r="I30" t="s">
        <v>17</v>
      </c>
      <c r="J30">
        <v>2</v>
      </c>
      <c r="K30" t="s">
        <v>26</v>
      </c>
      <c r="L30" t="s">
        <v>27</v>
      </c>
      <c r="M30">
        <v>44</v>
      </c>
      <c r="N30" t="str">
        <f t="shared" si="0"/>
        <v>Middle-Aged</v>
      </c>
      <c r="O30" t="s">
        <v>20</v>
      </c>
    </row>
    <row r="31" spans="1:15">
      <c r="A31">
        <v>16466</v>
      </c>
      <c r="B31" t="s">
        <v>64</v>
      </c>
      <c r="C31" t="s">
        <v>47</v>
      </c>
      <c r="D31" s="1">
        <v>20000</v>
      </c>
      <c r="E31" t="str" cm="1">
        <f t="array" ref="E31">_xlfn.IFS(D31&lt;40000,"Low Income",D31&lt;=80000,"Moderate Income",D31&gt;80000,"High Income")</f>
        <v>Low Income</v>
      </c>
      <c r="F31">
        <v>0</v>
      </c>
      <c r="G31" t="s">
        <v>32</v>
      </c>
      <c r="H31" t="s">
        <v>28</v>
      </c>
      <c r="I31" t="s">
        <v>20</v>
      </c>
      <c r="J31">
        <v>2</v>
      </c>
      <c r="K31" t="s">
        <v>18</v>
      </c>
      <c r="L31" t="s">
        <v>19</v>
      </c>
      <c r="M31">
        <v>32</v>
      </c>
      <c r="N31" t="str">
        <f t="shared" si="0"/>
        <v>Middle-Aged</v>
      </c>
      <c r="O31" t="s">
        <v>17</v>
      </c>
    </row>
    <row r="32" spans="1:15">
      <c r="A32">
        <v>19273</v>
      </c>
      <c r="B32" t="s">
        <v>63</v>
      </c>
      <c r="C32" t="s">
        <v>47</v>
      </c>
      <c r="D32" s="1">
        <v>20000</v>
      </c>
      <c r="E32" t="str" cm="1">
        <f t="array" ref="E32">_xlfn.IFS(D32&lt;40000,"Low Income",D32&lt;=80000,"Moderate Income",D32&gt;80000,"High Income")</f>
        <v>Low Income</v>
      </c>
      <c r="F32">
        <v>2</v>
      </c>
      <c r="G32" t="s">
        <v>21</v>
      </c>
      <c r="H32" t="s">
        <v>28</v>
      </c>
      <c r="I32" t="s">
        <v>17</v>
      </c>
      <c r="J32">
        <v>0</v>
      </c>
      <c r="K32" t="s">
        <v>18</v>
      </c>
      <c r="L32" t="s">
        <v>19</v>
      </c>
      <c r="M32">
        <v>63</v>
      </c>
      <c r="N32" t="str">
        <f t="shared" si="0"/>
        <v>Seniors</v>
      </c>
      <c r="O32" t="s">
        <v>20</v>
      </c>
    </row>
    <row r="33" spans="1:15">
      <c r="A33">
        <v>22400</v>
      </c>
      <c r="B33" t="s">
        <v>63</v>
      </c>
      <c r="C33" t="s">
        <v>49</v>
      </c>
      <c r="D33" s="1">
        <v>10000</v>
      </c>
      <c r="E33" t="str" cm="1">
        <f t="array" ref="E33">_xlfn.IFS(D33&lt;40000,"Low Income",D33&lt;=80000,"Moderate Income",D33&gt;80000,"High Income")</f>
        <v>Low Income</v>
      </c>
      <c r="F33">
        <v>0</v>
      </c>
      <c r="G33" t="s">
        <v>21</v>
      </c>
      <c r="H33" t="s">
        <v>28</v>
      </c>
      <c r="I33" t="s">
        <v>20</v>
      </c>
      <c r="J33">
        <v>1</v>
      </c>
      <c r="K33" t="s">
        <v>18</v>
      </c>
      <c r="L33" t="s">
        <v>27</v>
      </c>
      <c r="M33">
        <v>26</v>
      </c>
      <c r="N33" t="str">
        <f t="shared" si="0"/>
        <v>Young Adults</v>
      </c>
      <c r="O33" t="s">
        <v>17</v>
      </c>
    </row>
    <row r="34" spans="1:15">
      <c r="A34">
        <v>20942</v>
      </c>
      <c r="B34" t="s">
        <v>64</v>
      </c>
      <c r="C34" t="s">
        <v>47</v>
      </c>
      <c r="D34" s="1">
        <v>20000</v>
      </c>
      <c r="E34" t="str" cm="1">
        <f t="array" ref="E34">_xlfn.IFS(D34&lt;40000,"Low Income",D34&lt;=80000,"Moderate Income",D34&gt;80000,"High Income")</f>
        <v>Low Income</v>
      </c>
      <c r="F34">
        <v>0</v>
      </c>
      <c r="G34" t="s">
        <v>30</v>
      </c>
      <c r="H34" t="s">
        <v>28</v>
      </c>
      <c r="I34" t="s">
        <v>20</v>
      </c>
      <c r="J34">
        <v>1</v>
      </c>
      <c r="K34" t="s">
        <v>26</v>
      </c>
      <c r="L34" t="s">
        <v>19</v>
      </c>
      <c r="M34">
        <v>31</v>
      </c>
      <c r="N34" t="str">
        <f t="shared" si="0"/>
        <v>Middle-Aged</v>
      </c>
      <c r="O34" t="s">
        <v>20</v>
      </c>
    </row>
    <row r="35" spans="1:15">
      <c r="A35">
        <v>18484</v>
      </c>
      <c r="B35" t="s">
        <v>64</v>
      </c>
      <c r="C35" t="s">
        <v>49</v>
      </c>
      <c r="D35" s="1">
        <v>80000</v>
      </c>
      <c r="E35" t="str" cm="1">
        <f t="array" ref="E35">_xlfn.IFS(D35&lt;40000,"Low Income",D35&lt;=80000,"Moderate Income",D35&gt;80000,"High Income")</f>
        <v>Moderate Income</v>
      </c>
      <c r="F35">
        <v>2</v>
      </c>
      <c r="G35" t="s">
        <v>30</v>
      </c>
      <c r="H35" t="s">
        <v>16</v>
      </c>
      <c r="I35" t="s">
        <v>20</v>
      </c>
      <c r="J35">
        <v>2</v>
      </c>
      <c r="K35" t="s">
        <v>29</v>
      </c>
      <c r="L35" t="s">
        <v>27</v>
      </c>
      <c r="M35">
        <v>50</v>
      </c>
      <c r="N35" t="str">
        <f t="shared" si="0"/>
        <v>Middle-Aged</v>
      </c>
      <c r="O35" t="s">
        <v>17</v>
      </c>
    </row>
    <row r="36" spans="1:15">
      <c r="A36">
        <v>12291</v>
      </c>
      <c r="B36" t="s">
        <v>64</v>
      </c>
      <c r="C36" t="s">
        <v>49</v>
      </c>
      <c r="D36" s="1">
        <v>90000</v>
      </c>
      <c r="E36" t="str" cm="1">
        <f t="array" ref="E36">_xlfn.IFS(D36&lt;40000,"Low Income",D36&lt;=80000,"Moderate Income",D36&gt;80000,"High Income")</f>
        <v>High Income</v>
      </c>
      <c r="F36">
        <v>5</v>
      </c>
      <c r="G36" t="s">
        <v>21</v>
      </c>
      <c r="H36" t="s">
        <v>23</v>
      </c>
      <c r="I36" t="s">
        <v>20</v>
      </c>
      <c r="J36">
        <v>2</v>
      </c>
      <c r="K36" t="s">
        <v>24</v>
      </c>
      <c r="L36" t="s">
        <v>19</v>
      </c>
      <c r="M36">
        <v>62</v>
      </c>
      <c r="N36" t="str">
        <f t="shared" si="0"/>
        <v>Seniors</v>
      </c>
      <c r="O36" t="s">
        <v>17</v>
      </c>
    </row>
    <row r="37" spans="1:15">
      <c r="A37">
        <v>28380</v>
      </c>
      <c r="B37" t="s">
        <v>64</v>
      </c>
      <c r="C37" t="s">
        <v>47</v>
      </c>
      <c r="D37" s="1">
        <v>10000</v>
      </c>
      <c r="E37" t="str" cm="1">
        <f t="array" ref="E37">_xlfn.IFS(D37&lt;40000,"Low Income",D37&lt;=80000,"Moderate Income",D37&gt;80000,"High Income")</f>
        <v>Low Income</v>
      </c>
      <c r="F37">
        <v>5</v>
      </c>
      <c r="G37" t="s">
        <v>32</v>
      </c>
      <c r="H37" t="s">
        <v>28</v>
      </c>
      <c r="I37" t="s">
        <v>20</v>
      </c>
      <c r="J37">
        <v>2</v>
      </c>
      <c r="K37" t="s">
        <v>18</v>
      </c>
      <c r="L37" t="s">
        <v>19</v>
      </c>
      <c r="M37">
        <v>41</v>
      </c>
      <c r="N37" t="str">
        <f t="shared" si="0"/>
        <v>Middle-Aged</v>
      </c>
      <c r="O37" t="s">
        <v>20</v>
      </c>
    </row>
    <row r="38" spans="1:15">
      <c r="A38">
        <v>17891</v>
      </c>
      <c r="B38" t="s">
        <v>63</v>
      </c>
      <c r="C38" t="s">
        <v>47</v>
      </c>
      <c r="D38" s="1">
        <v>10000</v>
      </c>
      <c r="E38" t="str" cm="1">
        <f t="array" ref="E38">_xlfn.IFS(D38&lt;40000,"Low Income",D38&lt;=80000,"Moderate Income",D38&gt;80000,"High Income")</f>
        <v>Low Income</v>
      </c>
      <c r="F38">
        <v>2</v>
      </c>
      <c r="G38" t="s">
        <v>21</v>
      </c>
      <c r="H38" t="s">
        <v>28</v>
      </c>
      <c r="I38" t="s">
        <v>17</v>
      </c>
      <c r="J38">
        <v>1</v>
      </c>
      <c r="K38" t="s">
        <v>18</v>
      </c>
      <c r="L38" t="s">
        <v>19</v>
      </c>
      <c r="M38">
        <v>50</v>
      </c>
      <c r="N38" t="str">
        <f t="shared" si="0"/>
        <v>Middle-Aged</v>
      </c>
      <c r="O38" t="s">
        <v>17</v>
      </c>
    </row>
    <row r="39" spans="1:15">
      <c r="A39">
        <v>27832</v>
      </c>
      <c r="B39" t="s">
        <v>64</v>
      </c>
      <c r="C39" t="s">
        <v>47</v>
      </c>
      <c r="D39" s="1">
        <v>30000</v>
      </c>
      <c r="E39" t="str" cm="1">
        <f t="array" ref="E39">_xlfn.IFS(D39&lt;40000,"Low Income",D39&lt;=80000,"Moderate Income",D39&gt;80000,"High Income")</f>
        <v>Low Income</v>
      </c>
      <c r="F39">
        <v>0</v>
      </c>
      <c r="G39" t="s">
        <v>21</v>
      </c>
      <c r="H39" t="s">
        <v>22</v>
      </c>
      <c r="I39" t="s">
        <v>20</v>
      </c>
      <c r="J39">
        <v>1</v>
      </c>
      <c r="K39" t="s">
        <v>24</v>
      </c>
      <c r="L39" t="s">
        <v>19</v>
      </c>
      <c r="M39">
        <v>30</v>
      </c>
      <c r="N39" t="str">
        <f t="shared" si="0"/>
        <v>Young Adults</v>
      </c>
      <c r="O39" t="s">
        <v>20</v>
      </c>
    </row>
    <row r="40" spans="1:15">
      <c r="A40">
        <v>26863</v>
      </c>
      <c r="B40" t="s">
        <v>64</v>
      </c>
      <c r="C40" t="s">
        <v>49</v>
      </c>
      <c r="D40" s="1">
        <v>20000</v>
      </c>
      <c r="E40" t="str" cm="1">
        <f t="array" ref="E40">_xlfn.IFS(D40&lt;40000,"Low Income",D40&lt;=80000,"Moderate Income",D40&gt;80000,"High Income")</f>
        <v>Low Income</v>
      </c>
      <c r="F40">
        <v>0</v>
      </c>
      <c r="G40" t="s">
        <v>30</v>
      </c>
      <c r="H40" t="s">
        <v>28</v>
      </c>
      <c r="I40" t="s">
        <v>20</v>
      </c>
      <c r="J40">
        <v>1</v>
      </c>
      <c r="K40" t="s">
        <v>24</v>
      </c>
      <c r="L40" t="s">
        <v>19</v>
      </c>
      <c r="M40">
        <v>28</v>
      </c>
      <c r="N40" t="str">
        <f t="shared" si="0"/>
        <v>Young Adults</v>
      </c>
      <c r="O40" t="s">
        <v>20</v>
      </c>
    </row>
    <row r="41" spans="1:15">
      <c r="A41">
        <v>16259</v>
      </c>
      <c r="B41" t="s">
        <v>64</v>
      </c>
      <c r="C41" t="s">
        <v>47</v>
      </c>
      <c r="D41" s="1">
        <v>10000</v>
      </c>
      <c r="E41" t="str" cm="1">
        <f t="array" ref="E41">_xlfn.IFS(D41&lt;40000,"Low Income",D41&lt;=80000,"Moderate Income",D41&gt;80000,"High Income")</f>
        <v>Low Income</v>
      </c>
      <c r="F41">
        <v>4</v>
      </c>
      <c r="G41" t="s">
        <v>32</v>
      </c>
      <c r="H41" t="s">
        <v>28</v>
      </c>
      <c r="I41" t="s">
        <v>17</v>
      </c>
      <c r="J41">
        <v>2</v>
      </c>
      <c r="K41" t="s">
        <v>18</v>
      </c>
      <c r="L41" t="s">
        <v>19</v>
      </c>
      <c r="M41">
        <v>40</v>
      </c>
      <c r="N41" t="str">
        <f t="shared" si="0"/>
        <v>Middle-Aged</v>
      </c>
      <c r="O41" t="s">
        <v>17</v>
      </c>
    </row>
    <row r="42" spans="1:15">
      <c r="A42">
        <v>27803</v>
      </c>
      <c r="B42" t="s">
        <v>64</v>
      </c>
      <c r="C42" t="s">
        <v>47</v>
      </c>
      <c r="D42" s="1">
        <v>30000</v>
      </c>
      <c r="E42" t="str" cm="1">
        <f t="array" ref="E42">_xlfn.IFS(D42&lt;40000,"Low Income",D42&lt;=80000,"Moderate Income",D42&gt;80000,"High Income")</f>
        <v>Low Income</v>
      </c>
      <c r="F42">
        <v>2</v>
      </c>
      <c r="G42" t="s">
        <v>21</v>
      </c>
      <c r="H42" t="s">
        <v>22</v>
      </c>
      <c r="I42" t="s">
        <v>20</v>
      </c>
      <c r="J42">
        <v>0</v>
      </c>
      <c r="K42" t="s">
        <v>18</v>
      </c>
      <c r="L42" t="s">
        <v>19</v>
      </c>
      <c r="M42">
        <v>43</v>
      </c>
      <c r="N42" t="str">
        <f t="shared" si="0"/>
        <v>Middle-Aged</v>
      </c>
      <c r="O42" t="s">
        <v>20</v>
      </c>
    </row>
    <row r="43" spans="1:15">
      <c r="A43">
        <v>14347</v>
      </c>
      <c r="B43" t="s">
        <v>64</v>
      </c>
      <c r="C43" t="s">
        <v>47</v>
      </c>
      <c r="D43" s="1">
        <v>40000</v>
      </c>
      <c r="E43" t="str" cm="1">
        <f t="array" ref="E43">_xlfn.IFS(D43&lt;40000,"Low Income",D43&lt;=80000,"Moderate Income",D43&gt;80000,"High Income")</f>
        <v>Moderate Income</v>
      </c>
      <c r="F43">
        <v>2</v>
      </c>
      <c r="G43" t="s">
        <v>15</v>
      </c>
      <c r="H43" t="s">
        <v>31</v>
      </c>
      <c r="I43" t="s">
        <v>17</v>
      </c>
      <c r="J43">
        <v>2</v>
      </c>
      <c r="K43" t="s">
        <v>26</v>
      </c>
      <c r="L43" t="s">
        <v>27</v>
      </c>
      <c r="M43">
        <v>65</v>
      </c>
      <c r="N43" t="str">
        <f t="shared" si="0"/>
        <v>Seniors</v>
      </c>
      <c r="O43" t="s">
        <v>17</v>
      </c>
    </row>
    <row r="44" spans="1:15">
      <c r="A44">
        <v>17703</v>
      </c>
      <c r="B44" t="s">
        <v>63</v>
      </c>
      <c r="C44" t="s">
        <v>47</v>
      </c>
      <c r="D44" s="1">
        <v>10000</v>
      </c>
      <c r="E44" t="str" cm="1">
        <f t="array" ref="E44">_xlfn.IFS(D44&lt;40000,"Low Income",D44&lt;=80000,"Moderate Income",D44&gt;80000,"High Income")</f>
        <v>Low Income</v>
      </c>
      <c r="F44">
        <v>1</v>
      </c>
      <c r="G44" t="s">
        <v>34</v>
      </c>
      <c r="H44" t="s">
        <v>28</v>
      </c>
      <c r="I44" t="s">
        <v>17</v>
      </c>
      <c r="J44">
        <v>0</v>
      </c>
      <c r="K44" t="s">
        <v>18</v>
      </c>
      <c r="L44" t="s">
        <v>19</v>
      </c>
      <c r="M44">
        <v>40</v>
      </c>
      <c r="N44" t="str">
        <f t="shared" si="0"/>
        <v>Middle-Aged</v>
      </c>
      <c r="O44" t="s">
        <v>20</v>
      </c>
    </row>
    <row r="45" spans="1:15">
      <c r="A45">
        <v>17185</v>
      </c>
      <c r="B45" t="s">
        <v>63</v>
      </c>
      <c r="C45" t="s">
        <v>47</v>
      </c>
      <c r="D45" s="1">
        <v>170000</v>
      </c>
      <c r="E45" t="str" cm="1">
        <f t="array" ref="E45">_xlfn.IFS(D45&lt;40000,"Low Income",D45&lt;=80000,"Moderate Income",D45&gt;80000,"High Income")</f>
        <v>High Income</v>
      </c>
      <c r="F45">
        <v>4</v>
      </c>
      <c r="G45" t="s">
        <v>21</v>
      </c>
      <c r="H45" t="s">
        <v>23</v>
      </c>
      <c r="I45" t="s">
        <v>20</v>
      </c>
      <c r="J45">
        <v>3</v>
      </c>
      <c r="K45" t="s">
        <v>26</v>
      </c>
      <c r="L45" t="s">
        <v>19</v>
      </c>
      <c r="M45">
        <v>48</v>
      </c>
      <c r="N45" t="str">
        <f t="shared" si="0"/>
        <v>Middle-Aged</v>
      </c>
      <c r="O45" t="s">
        <v>17</v>
      </c>
    </row>
    <row r="46" spans="1:15">
      <c r="A46">
        <v>29380</v>
      </c>
      <c r="B46" t="s">
        <v>63</v>
      </c>
      <c r="C46" t="s">
        <v>47</v>
      </c>
      <c r="D46" s="1">
        <v>20000</v>
      </c>
      <c r="E46" t="str" cm="1">
        <f t="array" ref="E46">_xlfn.IFS(D46&lt;40000,"Low Income",D46&lt;=80000,"Moderate Income",D46&gt;80000,"High Income")</f>
        <v>Low Income</v>
      </c>
      <c r="F46">
        <v>3</v>
      </c>
      <c r="G46" t="s">
        <v>30</v>
      </c>
      <c r="H46" t="s">
        <v>28</v>
      </c>
      <c r="I46" t="s">
        <v>17</v>
      </c>
      <c r="J46">
        <v>0</v>
      </c>
      <c r="K46" t="s">
        <v>18</v>
      </c>
      <c r="L46" t="s">
        <v>19</v>
      </c>
      <c r="M46">
        <v>41</v>
      </c>
      <c r="N46" t="str">
        <f t="shared" si="0"/>
        <v>Middle-Aged</v>
      </c>
      <c r="O46" t="s">
        <v>17</v>
      </c>
    </row>
    <row r="47" spans="1:15">
      <c r="A47">
        <v>23986</v>
      </c>
      <c r="B47" t="s">
        <v>63</v>
      </c>
      <c r="C47" t="s">
        <v>47</v>
      </c>
      <c r="D47" s="1">
        <v>20000</v>
      </c>
      <c r="E47" t="str" cm="1">
        <f t="array" ref="E47">_xlfn.IFS(D47&lt;40000,"Low Income",D47&lt;=80000,"Moderate Income",D47&gt;80000,"High Income")</f>
        <v>Low Income</v>
      </c>
      <c r="F47">
        <v>1</v>
      </c>
      <c r="G47" t="s">
        <v>15</v>
      </c>
      <c r="H47" t="s">
        <v>22</v>
      </c>
      <c r="I47" t="s">
        <v>17</v>
      </c>
      <c r="J47">
        <v>0</v>
      </c>
      <c r="K47" t="s">
        <v>18</v>
      </c>
      <c r="L47" t="s">
        <v>19</v>
      </c>
      <c r="M47">
        <v>66</v>
      </c>
      <c r="N47" t="str">
        <f t="shared" si="0"/>
        <v>Seniors</v>
      </c>
      <c r="O47" t="s">
        <v>17</v>
      </c>
    </row>
    <row r="48" spans="1:15">
      <c r="A48">
        <v>24466</v>
      </c>
      <c r="B48" t="s">
        <v>63</v>
      </c>
      <c r="C48" t="s">
        <v>47</v>
      </c>
      <c r="D48" s="1">
        <v>60000</v>
      </c>
      <c r="E48" t="str" cm="1">
        <f t="array" ref="E48">_xlfn.IFS(D48&lt;40000,"Low Income",D48&lt;=80000,"Moderate Income",D48&gt;80000,"High Income")</f>
        <v>Moderate Income</v>
      </c>
      <c r="F48">
        <v>1</v>
      </c>
      <c r="G48" t="s">
        <v>21</v>
      </c>
      <c r="H48" t="s">
        <v>16</v>
      </c>
      <c r="I48" t="s">
        <v>17</v>
      </c>
      <c r="J48">
        <v>1</v>
      </c>
      <c r="K48" t="s">
        <v>26</v>
      </c>
      <c r="L48" t="s">
        <v>27</v>
      </c>
      <c r="M48">
        <v>46</v>
      </c>
      <c r="N48" t="str">
        <f t="shared" si="0"/>
        <v>Middle-Aged</v>
      </c>
      <c r="O48" t="s">
        <v>17</v>
      </c>
    </row>
    <row r="49" spans="1:15">
      <c r="A49">
        <v>29097</v>
      </c>
      <c r="B49" t="s">
        <v>64</v>
      </c>
      <c r="C49" t="s">
        <v>47</v>
      </c>
      <c r="D49" s="1">
        <v>40000</v>
      </c>
      <c r="E49" t="str" cm="1">
        <f t="array" ref="E49">_xlfn.IFS(D49&lt;40000,"Low Income",D49&lt;=80000,"Moderate Income",D49&gt;80000,"High Income")</f>
        <v>Moderate Income</v>
      </c>
      <c r="F49">
        <v>2</v>
      </c>
      <c r="G49" t="s">
        <v>21</v>
      </c>
      <c r="H49" t="s">
        <v>16</v>
      </c>
      <c r="I49" t="s">
        <v>17</v>
      </c>
      <c r="J49">
        <v>2</v>
      </c>
      <c r="K49" t="s">
        <v>26</v>
      </c>
      <c r="L49" t="s">
        <v>27</v>
      </c>
      <c r="M49">
        <v>52</v>
      </c>
      <c r="N49" t="str">
        <f t="shared" si="0"/>
        <v>Middle-Aged</v>
      </c>
      <c r="O49" t="s">
        <v>17</v>
      </c>
    </row>
    <row r="50" spans="1:15">
      <c r="A50">
        <v>19487</v>
      </c>
      <c r="B50" t="s">
        <v>63</v>
      </c>
      <c r="C50" t="s">
        <v>49</v>
      </c>
      <c r="D50" s="1">
        <v>30000</v>
      </c>
      <c r="E50" t="str" cm="1">
        <f t="array" ref="E50">_xlfn.IFS(D50&lt;40000,"Low Income",D50&lt;=80000,"Moderate Income",D50&gt;80000,"High Income")</f>
        <v>Low Income</v>
      </c>
      <c r="F50">
        <v>2</v>
      </c>
      <c r="G50" t="s">
        <v>21</v>
      </c>
      <c r="H50" t="s">
        <v>22</v>
      </c>
      <c r="I50" t="s">
        <v>20</v>
      </c>
      <c r="J50">
        <v>2</v>
      </c>
      <c r="K50" t="s">
        <v>18</v>
      </c>
      <c r="L50" t="s">
        <v>19</v>
      </c>
      <c r="M50">
        <v>42</v>
      </c>
      <c r="N50" t="str">
        <f t="shared" si="0"/>
        <v>Middle-Aged</v>
      </c>
      <c r="O50" t="s">
        <v>20</v>
      </c>
    </row>
    <row r="51" spans="1:15">
      <c r="A51">
        <v>14939</v>
      </c>
      <c r="B51" t="s">
        <v>64</v>
      </c>
      <c r="C51" t="s">
        <v>49</v>
      </c>
      <c r="D51" s="1">
        <v>40000</v>
      </c>
      <c r="E51" t="str" cm="1">
        <f t="array" ref="E51">_xlfn.IFS(D51&lt;40000,"Low Income",D51&lt;=80000,"Moderate Income",D51&gt;80000,"High Income")</f>
        <v>Moderate Income</v>
      </c>
      <c r="F51">
        <v>0</v>
      </c>
      <c r="G51" t="s">
        <v>15</v>
      </c>
      <c r="H51" t="s">
        <v>22</v>
      </c>
      <c r="I51" t="s">
        <v>17</v>
      </c>
      <c r="J51">
        <v>0</v>
      </c>
      <c r="K51" t="s">
        <v>18</v>
      </c>
      <c r="L51" t="s">
        <v>19</v>
      </c>
      <c r="M51">
        <v>39</v>
      </c>
      <c r="N51" t="str">
        <f t="shared" si="0"/>
        <v>Middle-Aged</v>
      </c>
      <c r="O51" t="s">
        <v>17</v>
      </c>
    </row>
    <row r="52" spans="1:15">
      <c r="A52">
        <v>13826</v>
      </c>
      <c r="B52" t="s">
        <v>64</v>
      </c>
      <c r="C52" t="s">
        <v>47</v>
      </c>
      <c r="D52" s="1">
        <v>30000</v>
      </c>
      <c r="E52" t="str" cm="1">
        <f t="array" ref="E52">_xlfn.IFS(D52&lt;40000,"Low Income",D52&lt;=80000,"Moderate Income",D52&gt;80000,"High Income")</f>
        <v>Low Income</v>
      </c>
      <c r="F52">
        <v>0</v>
      </c>
      <c r="G52" t="s">
        <v>21</v>
      </c>
      <c r="H52" t="s">
        <v>22</v>
      </c>
      <c r="I52" t="s">
        <v>20</v>
      </c>
      <c r="J52">
        <v>1</v>
      </c>
      <c r="K52" t="s">
        <v>18</v>
      </c>
      <c r="L52" t="s">
        <v>19</v>
      </c>
      <c r="M52">
        <v>28</v>
      </c>
      <c r="N52" t="str">
        <f t="shared" si="0"/>
        <v>Young Adults</v>
      </c>
      <c r="O52" t="s">
        <v>20</v>
      </c>
    </row>
    <row r="53" spans="1:15">
      <c r="A53">
        <v>20619</v>
      </c>
      <c r="B53" t="s">
        <v>64</v>
      </c>
      <c r="C53" t="s">
        <v>49</v>
      </c>
      <c r="D53" s="1">
        <v>80000</v>
      </c>
      <c r="E53" t="str" cm="1">
        <f t="array" ref="E53">_xlfn.IFS(D53&lt;40000,"Low Income",D53&lt;=80000,"Moderate Income",D53&gt;80000,"High Income")</f>
        <v>Moderate Income</v>
      </c>
      <c r="F53">
        <v>0</v>
      </c>
      <c r="G53" t="s">
        <v>15</v>
      </c>
      <c r="H53" t="s">
        <v>23</v>
      </c>
      <c r="I53" t="s">
        <v>20</v>
      </c>
      <c r="J53">
        <v>4</v>
      </c>
      <c r="K53" t="s">
        <v>61</v>
      </c>
      <c r="L53" t="s">
        <v>27</v>
      </c>
      <c r="M53">
        <v>35</v>
      </c>
      <c r="N53" t="str">
        <f t="shared" si="0"/>
        <v>Middle-Aged</v>
      </c>
      <c r="O53" t="s">
        <v>20</v>
      </c>
    </row>
    <row r="54" spans="1:15">
      <c r="A54">
        <v>12558</v>
      </c>
      <c r="B54" t="s">
        <v>63</v>
      </c>
      <c r="C54" t="s">
        <v>47</v>
      </c>
      <c r="D54" s="1">
        <v>20000</v>
      </c>
      <c r="E54" t="str" cm="1">
        <f t="array" ref="E54">_xlfn.IFS(D54&lt;40000,"Low Income",D54&lt;=80000,"Moderate Income",D54&gt;80000,"High Income")</f>
        <v>Low Income</v>
      </c>
      <c r="F54">
        <v>1</v>
      </c>
      <c r="G54" t="s">
        <v>15</v>
      </c>
      <c r="H54" t="s">
        <v>22</v>
      </c>
      <c r="I54" t="s">
        <v>17</v>
      </c>
      <c r="J54">
        <v>0</v>
      </c>
      <c r="K54" t="s">
        <v>18</v>
      </c>
      <c r="L54" t="s">
        <v>19</v>
      </c>
      <c r="M54">
        <v>65</v>
      </c>
      <c r="N54" t="str">
        <f t="shared" si="0"/>
        <v>Seniors</v>
      </c>
      <c r="O54" t="s">
        <v>20</v>
      </c>
    </row>
    <row r="55" spans="1:15">
      <c r="A55">
        <v>24871</v>
      </c>
      <c r="B55" t="s">
        <v>64</v>
      </c>
      <c r="C55" t="s">
        <v>47</v>
      </c>
      <c r="D55" s="1">
        <v>90000</v>
      </c>
      <c r="E55" t="str" cm="1">
        <f t="array" ref="E55">_xlfn.IFS(D55&lt;40000,"Low Income",D55&lt;=80000,"Moderate Income",D55&gt;80000,"High Income")</f>
        <v>High Income</v>
      </c>
      <c r="F55">
        <v>4</v>
      </c>
      <c r="G55" t="s">
        <v>30</v>
      </c>
      <c r="H55" t="s">
        <v>31</v>
      </c>
      <c r="I55" t="s">
        <v>20</v>
      </c>
      <c r="J55">
        <v>3</v>
      </c>
      <c r="K55" t="s">
        <v>26</v>
      </c>
      <c r="L55" t="s">
        <v>19</v>
      </c>
      <c r="M55">
        <v>56</v>
      </c>
      <c r="N55" t="str">
        <f t="shared" si="0"/>
        <v>Middle-Aged</v>
      </c>
      <c r="O55" t="s">
        <v>20</v>
      </c>
    </row>
    <row r="56" spans="1:15">
      <c r="A56">
        <v>17319</v>
      </c>
      <c r="B56" t="s">
        <v>64</v>
      </c>
      <c r="C56" t="s">
        <v>47</v>
      </c>
      <c r="D56" s="1">
        <v>70000</v>
      </c>
      <c r="E56" t="str" cm="1">
        <f t="array" ref="E56">_xlfn.IFS(D56&lt;40000,"Low Income",D56&lt;=80000,"Moderate Income",D56&gt;80000,"High Income")</f>
        <v>Moderate Income</v>
      </c>
      <c r="F56">
        <v>0</v>
      </c>
      <c r="G56" t="s">
        <v>15</v>
      </c>
      <c r="H56" t="s">
        <v>23</v>
      </c>
      <c r="I56" t="s">
        <v>20</v>
      </c>
      <c r="J56">
        <v>1</v>
      </c>
      <c r="K56" t="s">
        <v>26</v>
      </c>
      <c r="L56" t="s">
        <v>27</v>
      </c>
      <c r="M56">
        <v>42</v>
      </c>
      <c r="N56" t="str">
        <f t="shared" si="0"/>
        <v>Middle-Aged</v>
      </c>
      <c r="O56" t="s">
        <v>20</v>
      </c>
    </row>
    <row r="57" spans="1:15">
      <c r="A57">
        <v>28906</v>
      </c>
      <c r="B57" t="s">
        <v>63</v>
      </c>
      <c r="C57" t="s">
        <v>49</v>
      </c>
      <c r="D57" s="1">
        <v>80000</v>
      </c>
      <c r="E57" t="str" cm="1">
        <f t="array" ref="E57">_xlfn.IFS(D57&lt;40000,"Low Income",D57&lt;=80000,"Moderate Income",D57&gt;80000,"High Income")</f>
        <v>Moderate Income</v>
      </c>
      <c r="F57">
        <v>4</v>
      </c>
      <c r="G57" t="s">
        <v>30</v>
      </c>
      <c r="H57" t="s">
        <v>23</v>
      </c>
      <c r="I57" t="s">
        <v>17</v>
      </c>
      <c r="J57">
        <v>2</v>
      </c>
      <c r="K57" t="s">
        <v>61</v>
      </c>
      <c r="L57" t="s">
        <v>19</v>
      </c>
      <c r="M57">
        <v>54</v>
      </c>
      <c r="N57" t="str">
        <f t="shared" si="0"/>
        <v>Middle-Aged</v>
      </c>
      <c r="O57" t="s">
        <v>20</v>
      </c>
    </row>
    <row r="58" spans="1:15">
      <c r="A58">
        <v>12808</v>
      </c>
      <c r="B58" t="s">
        <v>63</v>
      </c>
      <c r="C58" t="s">
        <v>49</v>
      </c>
      <c r="D58" s="1">
        <v>40000</v>
      </c>
      <c r="E58" t="str" cm="1">
        <f t="array" ref="E58">_xlfn.IFS(D58&lt;40000,"Low Income",D58&lt;=80000,"Moderate Income",D58&gt;80000,"High Income")</f>
        <v>Moderate Income</v>
      </c>
      <c r="F58">
        <v>0</v>
      </c>
      <c r="G58" t="s">
        <v>15</v>
      </c>
      <c r="H58" t="s">
        <v>22</v>
      </c>
      <c r="I58" t="s">
        <v>17</v>
      </c>
      <c r="J58">
        <v>0</v>
      </c>
      <c r="K58" t="s">
        <v>18</v>
      </c>
      <c r="L58" t="s">
        <v>19</v>
      </c>
      <c r="M58">
        <v>38</v>
      </c>
      <c r="N58" t="str">
        <f t="shared" si="0"/>
        <v>Middle-Aged</v>
      </c>
      <c r="O58" t="s">
        <v>17</v>
      </c>
    </row>
    <row r="59" spans="1:15">
      <c r="A59">
        <v>20567</v>
      </c>
      <c r="B59" t="s">
        <v>63</v>
      </c>
      <c r="C59" t="s">
        <v>49</v>
      </c>
      <c r="D59" s="1">
        <v>130000</v>
      </c>
      <c r="E59" t="str" cm="1">
        <f t="array" ref="E59">_xlfn.IFS(D59&lt;40000,"Low Income",D59&lt;=80000,"Moderate Income",D59&gt;80000,"High Income")</f>
        <v>High Income</v>
      </c>
      <c r="F59">
        <v>4</v>
      </c>
      <c r="G59" t="s">
        <v>21</v>
      </c>
      <c r="H59" t="s">
        <v>23</v>
      </c>
      <c r="I59" t="s">
        <v>20</v>
      </c>
      <c r="J59">
        <v>4</v>
      </c>
      <c r="K59" t="s">
        <v>26</v>
      </c>
      <c r="L59" t="s">
        <v>19</v>
      </c>
      <c r="M59">
        <v>61</v>
      </c>
      <c r="N59" t="str">
        <f t="shared" si="0"/>
        <v>Seniors</v>
      </c>
      <c r="O59" t="s">
        <v>17</v>
      </c>
    </row>
    <row r="60" spans="1:15">
      <c r="A60">
        <v>25502</v>
      </c>
      <c r="B60" t="s">
        <v>63</v>
      </c>
      <c r="C60" t="s">
        <v>47</v>
      </c>
      <c r="D60" s="1">
        <v>40000</v>
      </c>
      <c r="E60" t="str" cm="1">
        <f t="array" ref="E60">_xlfn.IFS(D60&lt;40000,"Low Income",D60&lt;=80000,"Moderate Income",D60&gt;80000,"High Income")</f>
        <v>Moderate Income</v>
      </c>
      <c r="F60">
        <v>1</v>
      </c>
      <c r="G60" t="s">
        <v>15</v>
      </c>
      <c r="H60" t="s">
        <v>16</v>
      </c>
      <c r="I60" t="s">
        <v>17</v>
      </c>
      <c r="J60">
        <v>0</v>
      </c>
      <c r="K60" t="s">
        <v>18</v>
      </c>
      <c r="L60" t="s">
        <v>19</v>
      </c>
      <c r="M60">
        <v>43</v>
      </c>
      <c r="N60" t="str">
        <f t="shared" si="0"/>
        <v>Middle-Aged</v>
      </c>
      <c r="O60" t="s">
        <v>17</v>
      </c>
    </row>
    <row r="61" spans="1:15">
      <c r="A61">
        <v>15580</v>
      </c>
      <c r="B61" t="s">
        <v>63</v>
      </c>
      <c r="C61" t="s">
        <v>49</v>
      </c>
      <c r="D61" s="1">
        <v>60000</v>
      </c>
      <c r="E61" t="str" cm="1">
        <f t="array" ref="E61">_xlfn.IFS(D61&lt;40000,"Low Income",D61&lt;=80000,"Moderate Income",D61&gt;80000,"High Income")</f>
        <v>Moderate Income</v>
      </c>
      <c r="F61">
        <v>2</v>
      </c>
      <c r="G61" t="s">
        <v>15</v>
      </c>
      <c r="H61" t="s">
        <v>23</v>
      </c>
      <c r="I61" t="s">
        <v>17</v>
      </c>
      <c r="J61">
        <v>1</v>
      </c>
      <c r="K61" t="s">
        <v>24</v>
      </c>
      <c r="L61" t="s">
        <v>27</v>
      </c>
      <c r="M61">
        <v>38</v>
      </c>
      <c r="N61" t="str">
        <f t="shared" si="0"/>
        <v>Middle-Aged</v>
      </c>
      <c r="O61" t="s">
        <v>17</v>
      </c>
    </row>
    <row r="62" spans="1:15">
      <c r="A62">
        <v>24185</v>
      </c>
      <c r="B62" t="s">
        <v>64</v>
      </c>
      <c r="C62" t="s">
        <v>47</v>
      </c>
      <c r="D62" s="1">
        <v>10000</v>
      </c>
      <c r="E62" t="str" cm="1">
        <f t="array" ref="E62">_xlfn.IFS(D62&lt;40000,"Low Income",D62&lt;=80000,"Moderate Income",D62&gt;80000,"High Income")</f>
        <v>Low Income</v>
      </c>
      <c r="F62">
        <v>1</v>
      </c>
      <c r="G62" t="s">
        <v>30</v>
      </c>
      <c r="H62" t="s">
        <v>28</v>
      </c>
      <c r="I62" t="s">
        <v>20</v>
      </c>
      <c r="J62">
        <v>1</v>
      </c>
      <c r="K62" t="s">
        <v>29</v>
      </c>
      <c r="L62" t="s">
        <v>19</v>
      </c>
      <c r="M62">
        <v>45</v>
      </c>
      <c r="N62" t="str">
        <f t="shared" si="0"/>
        <v>Middle-Aged</v>
      </c>
      <c r="O62" t="s">
        <v>20</v>
      </c>
    </row>
    <row r="63" spans="1:15">
      <c r="A63">
        <v>19291</v>
      </c>
      <c r="B63" t="s">
        <v>64</v>
      </c>
      <c r="C63" t="s">
        <v>47</v>
      </c>
      <c r="D63" s="1">
        <v>10000</v>
      </c>
      <c r="E63" t="str" cm="1">
        <f t="array" ref="E63">_xlfn.IFS(D63&lt;40000,"Low Income",D63&lt;=80000,"Moderate Income",D63&gt;80000,"High Income")</f>
        <v>Low Income</v>
      </c>
      <c r="F63">
        <v>2</v>
      </c>
      <c r="G63" t="s">
        <v>30</v>
      </c>
      <c r="H63" t="s">
        <v>28</v>
      </c>
      <c r="I63" t="s">
        <v>17</v>
      </c>
      <c r="J63">
        <v>0</v>
      </c>
      <c r="K63" t="s">
        <v>18</v>
      </c>
      <c r="L63" t="s">
        <v>19</v>
      </c>
      <c r="M63">
        <v>35</v>
      </c>
      <c r="N63" t="str">
        <f t="shared" si="0"/>
        <v>Middle-Aged</v>
      </c>
      <c r="O63" t="s">
        <v>20</v>
      </c>
    </row>
    <row r="64" spans="1:15">
      <c r="A64">
        <v>16713</v>
      </c>
      <c r="B64" t="s">
        <v>63</v>
      </c>
      <c r="C64" t="s">
        <v>49</v>
      </c>
      <c r="D64" s="1">
        <v>40000</v>
      </c>
      <c r="E64" t="str" cm="1">
        <f t="array" ref="E64">_xlfn.IFS(D64&lt;40000,"Low Income",D64&lt;=80000,"Moderate Income",D64&gt;80000,"High Income")</f>
        <v>Moderate Income</v>
      </c>
      <c r="F64">
        <v>2</v>
      </c>
      <c r="G64" t="s">
        <v>15</v>
      </c>
      <c r="H64" t="s">
        <v>31</v>
      </c>
      <c r="I64" t="s">
        <v>17</v>
      </c>
      <c r="J64">
        <v>1</v>
      </c>
      <c r="K64" t="s">
        <v>18</v>
      </c>
      <c r="L64" t="s">
        <v>27</v>
      </c>
      <c r="M64">
        <v>52</v>
      </c>
      <c r="N64" t="str">
        <f t="shared" si="0"/>
        <v>Middle-Aged</v>
      </c>
      <c r="O64" t="s">
        <v>17</v>
      </c>
    </row>
    <row r="65" spans="1:15">
      <c r="A65">
        <v>16185</v>
      </c>
      <c r="B65" t="s">
        <v>64</v>
      </c>
      <c r="C65" t="s">
        <v>49</v>
      </c>
      <c r="D65" s="1">
        <v>60000</v>
      </c>
      <c r="E65" t="str" cm="1">
        <f t="array" ref="E65">_xlfn.IFS(D65&lt;40000,"Low Income",D65&lt;=80000,"Moderate Income",D65&gt;80000,"High Income")</f>
        <v>Moderate Income</v>
      </c>
      <c r="F65">
        <v>4</v>
      </c>
      <c r="G65" t="s">
        <v>15</v>
      </c>
      <c r="H65" t="s">
        <v>23</v>
      </c>
      <c r="I65" t="s">
        <v>17</v>
      </c>
      <c r="J65">
        <v>3</v>
      </c>
      <c r="K65" t="s">
        <v>61</v>
      </c>
      <c r="L65" t="s">
        <v>27</v>
      </c>
      <c r="M65">
        <v>41</v>
      </c>
      <c r="N65" t="str">
        <f t="shared" si="0"/>
        <v>Middle-Aged</v>
      </c>
      <c r="O65" t="s">
        <v>20</v>
      </c>
    </row>
    <row r="66" spans="1:15">
      <c r="A66">
        <v>14927</v>
      </c>
      <c r="B66" t="s">
        <v>63</v>
      </c>
      <c r="C66" t="s">
        <v>47</v>
      </c>
      <c r="D66" s="1">
        <v>30000</v>
      </c>
      <c r="E66" t="str" cm="1">
        <f t="array" ref="E66">_xlfn.IFS(D66&lt;40000,"Low Income",D66&lt;=80000,"Moderate Income",D66&gt;80000,"High Income")</f>
        <v>Low Income</v>
      </c>
      <c r="F66">
        <v>1</v>
      </c>
      <c r="G66" t="s">
        <v>15</v>
      </c>
      <c r="H66" t="s">
        <v>22</v>
      </c>
      <c r="I66" t="s">
        <v>17</v>
      </c>
      <c r="J66">
        <v>0</v>
      </c>
      <c r="K66" t="s">
        <v>18</v>
      </c>
      <c r="L66" t="s">
        <v>19</v>
      </c>
      <c r="M66">
        <v>37</v>
      </c>
      <c r="N66" t="str">
        <f t="shared" si="0"/>
        <v>Middle-Aged</v>
      </c>
      <c r="O66" t="s">
        <v>17</v>
      </c>
    </row>
    <row r="67" spans="1:15">
      <c r="A67">
        <v>29337</v>
      </c>
      <c r="B67" t="s">
        <v>64</v>
      </c>
      <c r="C67" t="s">
        <v>49</v>
      </c>
      <c r="D67" s="1">
        <v>30000</v>
      </c>
      <c r="E67" t="str" cm="1">
        <f t="array" ref="E67">_xlfn.IFS(D67&lt;40000,"Low Income",D67&lt;=80000,"Moderate Income",D67&gt;80000,"High Income")</f>
        <v>Low Income</v>
      </c>
      <c r="F67">
        <v>2</v>
      </c>
      <c r="G67" t="s">
        <v>21</v>
      </c>
      <c r="H67" t="s">
        <v>22</v>
      </c>
      <c r="I67" t="s">
        <v>17</v>
      </c>
      <c r="J67">
        <v>2</v>
      </c>
      <c r="K67" t="s">
        <v>26</v>
      </c>
      <c r="L67" t="s">
        <v>27</v>
      </c>
      <c r="M67">
        <v>68</v>
      </c>
      <c r="N67" t="str">
        <f t="shared" ref="N67:N130" si="1">IF(M67&gt;=60,"Seniors",IF(M67&gt;30,"Middle-Aged",IF(M67&lt;=30,"Young Adults")))</f>
        <v>Seniors</v>
      </c>
      <c r="O67" t="s">
        <v>20</v>
      </c>
    </row>
    <row r="68" spans="1:15">
      <c r="A68">
        <v>29355</v>
      </c>
      <c r="B68" t="s">
        <v>63</v>
      </c>
      <c r="C68" t="s">
        <v>47</v>
      </c>
      <c r="D68" s="1">
        <v>40000</v>
      </c>
      <c r="E68" t="str" cm="1">
        <f t="array" ref="E68">_xlfn.IFS(D68&lt;40000,"Low Income",D68&lt;=80000,"Moderate Income",D68&gt;80000,"High Income")</f>
        <v>Moderate Income</v>
      </c>
      <c r="F68">
        <v>0</v>
      </c>
      <c r="G68" t="s">
        <v>34</v>
      </c>
      <c r="H68" t="s">
        <v>22</v>
      </c>
      <c r="I68" t="s">
        <v>17</v>
      </c>
      <c r="J68">
        <v>0</v>
      </c>
      <c r="K68" t="s">
        <v>18</v>
      </c>
      <c r="L68" t="s">
        <v>19</v>
      </c>
      <c r="M68">
        <v>37</v>
      </c>
      <c r="N68" t="str">
        <f t="shared" si="1"/>
        <v>Middle-Aged</v>
      </c>
      <c r="O68" t="s">
        <v>17</v>
      </c>
    </row>
    <row r="69" spans="1:15">
      <c r="A69">
        <v>25303</v>
      </c>
      <c r="B69" t="s">
        <v>64</v>
      </c>
      <c r="C69" t="s">
        <v>49</v>
      </c>
      <c r="D69" s="1">
        <v>30000</v>
      </c>
      <c r="E69" t="str" cm="1">
        <f t="array" ref="E69">_xlfn.IFS(D69&lt;40000,"Low Income",D69&lt;=80000,"Moderate Income",D69&gt;80000,"High Income")</f>
        <v>Low Income</v>
      </c>
      <c r="F69">
        <v>0</v>
      </c>
      <c r="G69" t="s">
        <v>30</v>
      </c>
      <c r="H69" t="s">
        <v>28</v>
      </c>
      <c r="I69" t="s">
        <v>17</v>
      </c>
      <c r="J69">
        <v>1</v>
      </c>
      <c r="K69" t="s">
        <v>24</v>
      </c>
      <c r="L69" t="s">
        <v>19</v>
      </c>
      <c r="M69">
        <v>33</v>
      </c>
      <c r="N69" t="str">
        <f t="shared" si="1"/>
        <v>Middle-Aged</v>
      </c>
      <c r="O69" t="s">
        <v>17</v>
      </c>
    </row>
    <row r="70" spans="1:15">
      <c r="A70">
        <v>14813</v>
      </c>
      <c r="B70" t="s">
        <v>64</v>
      </c>
      <c r="C70" t="s">
        <v>47</v>
      </c>
      <c r="D70" s="1">
        <v>20000</v>
      </c>
      <c r="E70" t="str" cm="1">
        <f t="array" ref="E70">_xlfn.IFS(D70&lt;40000,"Low Income",D70&lt;=80000,"Moderate Income",D70&gt;80000,"High Income")</f>
        <v>Low Income</v>
      </c>
      <c r="F70">
        <v>4</v>
      </c>
      <c r="G70" t="s">
        <v>30</v>
      </c>
      <c r="H70" t="s">
        <v>28</v>
      </c>
      <c r="I70" t="s">
        <v>17</v>
      </c>
      <c r="J70">
        <v>1</v>
      </c>
      <c r="K70" t="s">
        <v>18</v>
      </c>
      <c r="L70" t="s">
        <v>19</v>
      </c>
      <c r="M70">
        <v>43</v>
      </c>
      <c r="N70" t="str">
        <f t="shared" si="1"/>
        <v>Middle-Aged</v>
      </c>
      <c r="O70" t="s">
        <v>17</v>
      </c>
    </row>
    <row r="71" spans="1:15">
      <c r="A71">
        <v>16438</v>
      </c>
      <c r="B71" t="s">
        <v>63</v>
      </c>
      <c r="C71" t="s">
        <v>47</v>
      </c>
      <c r="D71" s="1">
        <v>10000</v>
      </c>
      <c r="E71" t="str" cm="1">
        <f t="array" ref="E71">_xlfn.IFS(D71&lt;40000,"Low Income",D71&lt;=80000,"Moderate Income",D71&gt;80000,"High Income")</f>
        <v>Low Income</v>
      </c>
      <c r="F71">
        <v>0</v>
      </c>
      <c r="G71" t="s">
        <v>32</v>
      </c>
      <c r="H71" t="s">
        <v>28</v>
      </c>
      <c r="I71" t="s">
        <v>20</v>
      </c>
      <c r="J71">
        <v>2</v>
      </c>
      <c r="K71" t="s">
        <v>18</v>
      </c>
      <c r="L71" t="s">
        <v>19</v>
      </c>
      <c r="M71">
        <v>30</v>
      </c>
      <c r="N71" t="str">
        <f t="shared" si="1"/>
        <v>Young Adults</v>
      </c>
      <c r="O71" t="s">
        <v>20</v>
      </c>
    </row>
    <row r="72" spans="1:15">
      <c r="A72">
        <v>14238</v>
      </c>
      <c r="B72" t="s">
        <v>63</v>
      </c>
      <c r="C72" t="s">
        <v>49</v>
      </c>
      <c r="D72" s="1">
        <v>120000</v>
      </c>
      <c r="E72" t="str" cm="1">
        <f t="array" ref="E72">_xlfn.IFS(D72&lt;40000,"Low Income",D72&lt;=80000,"Moderate Income",D72&gt;80000,"High Income")</f>
        <v>High Income</v>
      </c>
      <c r="F72">
        <v>0</v>
      </c>
      <c r="G72" t="s">
        <v>32</v>
      </c>
      <c r="H72" t="s">
        <v>23</v>
      </c>
      <c r="I72" t="s">
        <v>17</v>
      </c>
      <c r="J72">
        <v>4</v>
      </c>
      <c r="K72" t="s">
        <v>61</v>
      </c>
      <c r="L72" t="s">
        <v>27</v>
      </c>
      <c r="M72">
        <v>36</v>
      </c>
      <c r="N72" t="str">
        <f t="shared" si="1"/>
        <v>Middle-Aged</v>
      </c>
      <c r="O72" t="s">
        <v>17</v>
      </c>
    </row>
    <row r="73" spans="1:15">
      <c r="A73">
        <v>16200</v>
      </c>
      <c r="B73" t="s">
        <v>64</v>
      </c>
      <c r="C73" t="s">
        <v>47</v>
      </c>
      <c r="D73" s="1">
        <v>10000</v>
      </c>
      <c r="E73" t="str" cm="1">
        <f t="array" ref="E73">_xlfn.IFS(D73&lt;40000,"Low Income",D73&lt;=80000,"Moderate Income",D73&gt;80000,"High Income")</f>
        <v>Low Income</v>
      </c>
      <c r="F73">
        <v>0</v>
      </c>
      <c r="G73" t="s">
        <v>32</v>
      </c>
      <c r="H73" t="s">
        <v>28</v>
      </c>
      <c r="I73" t="s">
        <v>20</v>
      </c>
      <c r="J73">
        <v>2</v>
      </c>
      <c r="K73" t="s">
        <v>18</v>
      </c>
      <c r="L73" t="s">
        <v>19</v>
      </c>
      <c r="M73">
        <v>35</v>
      </c>
      <c r="N73" t="str">
        <f t="shared" si="1"/>
        <v>Middle-Aged</v>
      </c>
      <c r="O73" t="s">
        <v>20</v>
      </c>
    </row>
    <row r="74" spans="1:15">
      <c r="A74">
        <v>24857</v>
      </c>
      <c r="B74" t="s">
        <v>63</v>
      </c>
      <c r="C74" t="s">
        <v>47</v>
      </c>
      <c r="D74" s="1">
        <v>130000</v>
      </c>
      <c r="E74" t="str" cm="1">
        <f t="array" ref="E74">_xlfn.IFS(D74&lt;40000,"Low Income",D74&lt;=80000,"Moderate Income",D74&gt;80000,"High Income")</f>
        <v>High Income</v>
      </c>
      <c r="F74">
        <v>3</v>
      </c>
      <c r="G74" t="s">
        <v>30</v>
      </c>
      <c r="H74" t="s">
        <v>23</v>
      </c>
      <c r="I74" t="s">
        <v>17</v>
      </c>
      <c r="J74">
        <v>4</v>
      </c>
      <c r="K74" t="s">
        <v>18</v>
      </c>
      <c r="L74" t="s">
        <v>19</v>
      </c>
      <c r="M74">
        <v>52</v>
      </c>
      <c r="N74" t="str">
        <f t="shared" si="1"/>
        <v>Middle-Aged</v>
      </c>
      <c r="O74" t="s">
        <v>20</v>
      </c>
    </row>
    <row r="75" spans="1:15">
      <c r="A75">
        <v>26956</v>
      </c>
      <c r="B75" t="s">
        <v>64</v>
      </c>
      <c r="C75" t="s">
        <v>47</v>
      </c>
      <c r="D75" s="1">
        <v>20000</v>
      </c>
      <c r="E75" t="str" cm="1">
        <f t="array" ref="E75">_xlfn.IFS(D75&lt;40000,"Low Income",D75&lt;=80000,"Moderate Income",D75&gt;80000,"High Income")</f>
        <v>Low Income</v>
      </c>
      <c r="F75">
        <v>0</v>
      </c>
      <c r="G75" t="s">
        <v>21</v>
      </c>
      <c r="H75" t="s">
        <v>28</v>
      </c>
      <c r="I75" t="s">
        <v>20</v>
      </c>
      <c r="J75">
        <v>1</v>
      </c>
      <c r="K75" t="s">
        <v>24</v>
      </c>
      <c r="L75" t="s">
        <v>19</v>
      </c>
      <c r="M75">
        <v>36</v>
      </c>
      <c r="N75" t="str">
        <f t="shared" si="1"/>
        <v>Middle-Aged</v>
      </c>
      <c r="O75" t="s">
        <v>17</v>
      </c>
    </row>
    <row r="76" spans="1:15">
      <c r="A76">
        <v>14517</v>
      </c>
      <c r="B76" t="s">
        <v>63</v>
      </c>
      <c r="C76" t="s">
        <v>47</v>
      </c>
      <c r="D76" s="1">
        <v>20000</v>
      </c>
      <c r="E76" t="str" cm="1">
        <f t="array" ref="E76">_xlfn.IFS(D76&lt;40000,"Low Income",D76&lt;=80000,"Moderate Income",D76&gt;80000,"High Income")</f>
        <v>Low Income</v>
      </c>
      <c r="F76">
        <v>3</v>
      </c>
      <c r="G76" t="s">
        <v>30</v>
      </c>
      <c r="H76" t="s">
        <v>16</v>
      </c>
      <c r="I76" t="s">
        <v>20</v>
      </c>
      <c r="J76">
        <v>2</v>
      </c>
      <c r="K76" t="s">
        <v>29</v>
      </c>
      <c r="L76" t="s">
        <v>27</v>
      </c>
      <c r="M76">
        <v>62</v>
      </c>
      <c r="N76" t="str">
        <f t="shared" si="1"/>
        <v>Seniors</v>
      </c>
      <c r="O76" t="s">
        <v>20</v>
      </c>
    </row>
    <row r="77" spans="1:15">
      <c r="A77">
        <v>12678</v>
      </c>
      <c r="B77" t="s">
        <v>64</v>
      </c>
      <c r="C77" t="s">
        <v>47</v>
      </c>
      <c r="D77" s="1">
        <v>130000</v>
      </c>
      <c r="E77" t="str" cm="1">
        <f t="array" ref="E77">_xlfn.IFS(D77&lt;40000,"Low Income",D77&lt;=80000,"Moderate Income",D77&gt;80000,"High Income")</f>
        <v>High Income</v>
      </c>
      <c r="F77">
        <v>4</v>
      </c>
      <c r="G77" t="s">
        <v>30</v>
      </c>
      <c r="H77" t="s">
        <v>31</v>
      </c>
      <c r="I77" t="s">
        <v>17</v>
      </c>
      <c r="J77">
        <v>4</v>
      </c>
      <c r="K77" t="s">
        <v>18</v>
      </c>
      <c r="L77" t="s">
        <v>27</v>
      </c>
      <c r="M77">
        <v>31</v>
      </c>
      <c r="N77" t="str">
        <f t="shared" si="1"/>
        <v>Middle-Aged</v>
      </c>
      <c r="O77" t="s">
        <v>20</v>
      </c>
    </row>
    <row r="78" spans="1:15">
      <c r="A78">
        <v>16188</v>
      </c>
      <c r="B78" t="s">
        <v>64</v>
      </c>
      <c r="C78" t="s">
        <v>47</v>
      </c>
      <c r="D78" s="1">
        <v>20000</v>
      </c>
      <c r="E78" t="str" cm="1">
        <f t="array" ref="E78">_xlfn.IFS(D78&lt;40000,"Low Income",D78&lt;=80000,"Moderate Income",D78&gt;80000,"High Income")</f>
        <v>Low Income</v>
      </c>
      <c r="F78">
        <v>0</v>
      </c>
      <c r="G78" t="s">
        <v>32</v>
      </c>
      <c r="H78" t="s">
        <v>28</v>
      </c>
      <c r="I78" t="s">
        <v>20</v>
      </c>
      <c r="J78">
        <v>2</v>
      </c>
      <c r="K78" t="s">
        <v>29</v>
      </c>
      <c r="L78" t="s">
        <v>19</v>
      </c>
      <c r="M78">
        <v>26</v>
      </c>
      <c r="N78" t="str">
        <f t="shared" si="1"/>
        <v>Young Adults</v>
      </c>
      <c r="O78" t="s">
        <v>20</v>
      </c>
    </row>
    <row r="79" spans="1:15">
      <c r="A79">
        <v>27969</v>
      </c>
      <c r="B79" t="s">
        <v>63</v>
      </c>
      <c r="C79" t="s">
        <v>49</v>
      </c>
      <c r="D79" s="1">
        <v>80000</v>
      </c>
      <c r="E79" t="str" cm="1">
        <f t="array" ref="E79">_xlfn.IFS(D79&lt;40000,"Low Income",D79&lt;=80000,"Moderate Income",D79&gt;80000,"High Income")</f>
        <v>Moderate Income</v>
      </c>
      <c r="F79">
        <v>0</v>
      </c>
      <c r="G79" t="s">
        <v>15</v>
      </c>
      <c r="H79" t="s">
        <v>23</v>
      </c>
      <c r="I79" t="s">
        <v>17</v>
      </c>
      <c r="J79">
        <v>2</v>
      </c>
      <c r="K79" t="s">
        <v>61</v>
      </c>
      <c r="L79" t="s">
        <v>27</v>
      </c>
      <c r="M79">
        <v>29</v>
      </c>
      <c r="N79" t="str">
        <f t="shared" si="1"/>
        <v>Young Adults</v>
      </c>
      <c r="O79" t="s">
        <v>17</v>
      </c>
    </row>
    <row r="80" spans="1:15">
      <c r="A80">
        <v>15752</v>
      </c>
      <c r="B80" t="s">
        <v>63</v>
      </c>
      <c r="C80" t="s">
        <v>49</v>
      </c>
      <c r="D80" s="1">
        <v>80000</v>
      </c>
      <c r="E80" t="str" cm="1">
        <f t="array" ref="E80">_xlfn.IFS(D80&lt;40000,"Low Income",D80&lt;=80000,"Moderate Income",D80&gt;80000,"High Income")</f>
        <v>Moderate Income</v>
      </c>
      <c r="F80">
        <v>2</v>
      </c>
      <c r="G80" t="s">
        <v>30</v>
      </c>
      <c r="H80" t="s">
        <v>16</v>
      </c>
      <c r="I80" t="s">
        <v>20</v>
      </c>
      <c r="J80">
        <v>2</v>
      </c>
      <c r="K80" t="s">
        <v>29</v>
      </c>
      <c r="L80" t="s">
        <v>27</v>
      </c>
      <c r="M80">
        <v>50</v>
      </c>
      <c r="N80" t="str">
        <f t="shared" si="1"/>
        <v>Middle-Aged</v>
      </c>
      <c r="O80" t="s">
        <v>17</v>
      </c>
    </row>
    <row r="81" spans="1:15">
      <c r="A81">
        <v>27745</v>
      </c>
      <c r="B81" t="s">
        <v>64</v>
      </c>
      <c r="C81" t="s">
        <v>49</v>
      </c>
      <c r="D81" s="1">
        <v>40000</v>
      </c>
      <c r="E81" t="str" cm="1">
        <f t="array" ref="E81">_xlfn.IFS(D81&lt;40000,"Low Income",D81&lt;=80000,"Moderate Income",D81&gt;80000,"High Income")</f>
        <v>Moderate Income</v>
      </c>
      <c r="F81">
        <v>2</v>
      </c>
      <c r="G81" t="s">
        <v>15</v>
      </c>
      <c r="H81" t="s">
        <v>31</v>
      </c>
      <c r="I81" t="s">
        <v>17</v>
      </c>
      <c r="J81">
        <v>2</v>
      </c>
      <c r="K81" t="s">
        <v>26</v>
      </c>
      <c r="L81" t="s">
        <v>27</v>
      </c>
      <c r="M81">
        <v>63</v>
      </c>
      <c r="N81" t="str">
        <f t="shared" si="1"/>
        <v>Seniors</v>
      </c>
      <c r="O81" t="s">
        <v>17</v>
      </c>
    </row>
    <row r="82" spans="1:15">
      <c r="A82">
        <v>20828</v>
      </c>
      <c r="B82" t="s">
        <v>63</v>
      </c>
      <c r="C82" t="s">
        <v>47</v>
      </c>
      <c r="D82" s="1">
        <v>30000</v>
      </c>
      <c r="E82" t="str" cm="1">
        <f t="array" ref="E82">_xlfn.IFS(D82&lt;40000,"Low Income",D82&lt;=80000,"Moderate Income",D82&gt;80000,"High Income")</f>
        <v>Low Income</v>
      </c>
      <c r="F82">
        <v>4</v>
      </c>
      <c r="G82" t="s">
        <v>34</v>
      </c>
      <c r="H82" t="s">
        <v>22</v>
      </c>
      <c r="I82" t="s">
        <v>17</v>
      </c>
      <c r="J82">
        <v>0</v>
      </c>
      <c r="K82" t="s">
        <v>18</v>
      </c>
      <c r="L82" t="s">
        <v>19</v>
      </c>
      <c r="M82">
        <v>45</v>
      </c>
      <c r="N82" t="str">
        <f t="shared" si="1"/>
        <v>Middle-Aged</v>
      </c>
      <c r="O82" t="s">
        <v>17</v>
      </c>
    </row>
    <row r="83" spans="1:15">
      <c r="A83">
        <v>19461</v>
      </c>
      <c r="B83" t="s">
        <v>64</v>
      </c>
      <c r="C83" t="s">
        <v>47</v>
      </c>
      <c r="D83" s="1">
        <v>10000</v>
      </c>
      <c r="E83" t="str" cm="1">
        <f t="array" ref="E83">_xlfn.IFS(D83&lt;40000,"Low Income",D83&lt;=80000,"Moderate Income",D83&gt;80000,"High Income")</f>
        <v>Low Income</v>
      </c>
      <c r="F83">
        <v>4</v>
      </c>
      <c r="G83" t="s">
        <v>32</v>
      </c>
      <c r="H83" t="s">
        <v>28</v>
      </c>
      <c r="I83" t="s">
        <v>17</v>
      </c>
      <c r="J83">
        <v>2</v>
      </c>
      <c r="K83" t="s">
        <v>18</v>
      </c>
      <c r="L83" t="s">
        <v>19</v>
      </c>
      <c r="M83">
        <v>40</v>
      </c>
      <c r="N83" t="str">
        <f t="shared" si="1"/>
        <v>Middle-Aged</v>
      </c>
      <c r="O83" t="s">
        <v>20</v>
      </c>
    </row>
    <row r="84" spans="1:15">
      <c r="A84">
        <v>26941</v>
      </c>
      <c r="B84" t="s">
        <v>63</v>
      </c>
      <c r="C84" t="s">
        <v>49</v>
      </c>
      <c r="D84" s="1">
        <v>30000</v>
      </c>
      <c r="E84" t="str" cm="1">
        <f t="array" ref="E84">_xlfn.IFS(D84&lt;40000,"Low Income",D84&lt;=80000,"Moderate Income",D84&gt;80000,"High Income")</f>
        <v>Low Income</v>
      </c>
      <c r="F84">
        <v>0</v>
      </c>
      <c r="G84" t="s">
        <v>15</v>
      </c>
      <c r="H84" t="s">
        <v>22</v>
      </c>
      <c r="I84" t="s">
        <v>17</v>
      </c>
      <c r="J84">
        <v>0</v>
      </c>
      <c r="K84" t="s">
        <v>18</v>
      </c>
      <c r="L84" t="s">
        <v>19</v>
      </c>
      <c r="M84">
        <v>47</v>
      </c>
      <c r="N84" t="str">
        <f t="shared" si="1"/>
        <v>Middle-Aged</v>
      </c>
      <c r="O84" t="s">
        <v>17</v>
      </c>
    </row>
    <row r="85" spans="1:15">
      <c r="A85">
        <v>28412</v>
      </c>
      <c r="B85" t="s">
        <v>64</v>
      </c>
      <c r="C85" t="s">
        <v>49</v>
      </c>
      <c r="D85" s="1">
        <v>20000</v>
      </c>
      <c r="E85" t="str" cm="1">
        <f t="array" ref="E85">_xlfn.IFS(D85&lt;40000,"Low Income",D85&lt;=80000,"Moderate Income",D85&gt;80000,"High Income")</f>
        <v>Low Income</v>
      </c>
      <c r="F85">
        <v>0</v>
      </c>
      <c r="G85" t="s">
        <v>30</v>
      </c>
      <c r="H85" t="s">
        <v>28</v>
      </c>
      <c r="I85" t="s">
        <v>20</v>
      </c>
      <c r="J85">
        <v>1</v>
      </c>
      <c r="K85" t="s">
        <v>24</v>
      </c>
      <c r="L85" t="s">
        <v>19</v>
      </c>
      <c r="M85">
        <v>29</v>
      </c>
      <c r="N85" t="str">
        <f t="shared" si="1"/>
        <v>Young Adults</v>
      </c>
      <c r="O85" t="s">
        <v>20</v>
      </c>
    </row>
    <row r="86" spans="1:15">
      <c r="A86">
        <v>24485</v>
      </c>
      <c r="B86" t="s">
        <v>64</v>
      </c>
      <c r="C86" t="s">
        <v>49</v>
      </c>
      <c r="D86" s="1">
        <v>40000</v>
      </c>
      <c r="E86" t="str" cm="1">
        <f t="array" ref="E86">_xlfn.IFS(D86&lt;40000,"Low Income",D86&lt;=80000,"Moderate Income",D86&gt;80000,"High Income")</f>
        <v>Moderate Income</v>
      </c>
      <c r="F86">
        <v>2</v>
      </c>
      <c r="G86" t="s">
        <v>15</v>
      </c>
      <c r="H86" t="s">
        <v>31</v>
      </c>
      <c r="I86" t="s">
        <v>20</v>
      </c>
      <c r="J86">
        <v>1</v>
      </c>
      <c r="K86" t="s">
        <v>26</v>
      </c>
      <c r="L86" t="s">
        <v>27</v>
      </c>
      <c r="M86">
        <v>52</v>
      </c>
      <c r="N86" t="str">
        <f t="shared" si="1"/>
        <v>Middle-Aged</v>
      </c>
      <c r="O86" t="s">
        <v>17</v>
      </c>
    </row>
    <row r="87" spans="1:15">
      <c r="A87">
        <v>16514</v>
      </c>
      <c r="B87" t="s">
        <v>64</v>
      </c>
      <c r="C87" t="s">
        <v>49</v>
      </c>
      <c r="D87" s="1">
        <v>10000</v>
      </c>
      <c r="E87" t="str" cm="1">
        <f t="array" ref="E87">_xlfn.IFS(D87&lt;40000,"Low Income",D87&lt;=80000,"Moderate Income",D87&gt;80000,"High Income")</f>
        <v>Low Income</v>
      </c>
      <c r="F87">
        <v>0</v>
      </c>
      <c r="G87" t="s">
        <v>21</v>
      </c>
      <c r="H87" t="s">
        <v>28</v>
      </c>
      <c r="I87" t="s">
        <v>17</v>
      </c>
      <c r="J87">
        <v>1</v>
      </c>
      <c r="K87" t="s">
        <v>29</v>
      </c>
      <c r="L87" t="s">
        <v>27</v>
      </c>
      <c r="M87">
        <v>26</v>
      </c>
      <c r="N87" t="str">
        <f t="shared" si="1"/>
        <v>Young Adults</v>
      </c>
      <c r="O87" t="s">
        <v>17</v>
      </c>
    </row>
    <row r="88" spans="1:15">
      <c r="A88">
        <v>17191</v>
      </c>
      <c r="B88" t="s">
        <v>64</v>
      </c>
      <c r="C88" t="s">
        <v>49</v>
      </c>
      <c r="D88" s="1">
        <v>130000</v>
      </c>
      <c r="E88" t="str" cm="1">
        <f t="array" ref="E88">_xlfn.IFS(D88&lt;40000,"Low Income",D88&lt;=80000,"Moderate Income",D88&gt;80000,"High Income")</f>
        <v>High Income</v>
      </c>
      <c r="F88">
        <v>3</v>
      </c>
      <c r="G88" t="s">
        <v>21</v>
      </c>
      <c r="H88" t="s">
        <v>23</v>
      </c>
      <c r="I88" t="s">
        <v>20</v>
      </c>
      <c r="J88">
        <v>3</v>
      </c>
      <c r="K88" t="s">
        <v>18</v>
      </c>
      <c r="L88" t="s">
        <v>19</v>
      </c>
      <c r="M88">
        <v>51</v>
      </c>
      <c r="N88" t="str">
        <f t="shared" si="1"/>
        <v>Middle-Aged</v>
      </c>
      <c r="O88" t="s">
        <v>17</v>
      </c>
    </row>
    <row r="89" spans="1:15">
      <c r="A89">
        <v>19608</v>
      </c>
      <c r="B89" t="s">
        <v>63</v>
      </c>
      <c r="C89" t="s">
        <v>49</v>
      </c>
      <c r="D89" s="1">
        <v>80000</v>
      </c>
      <c r="E89" t="str" cm="1">
        <f t="array" ref="E89">_xlfn.IFS(D89&lt;40000,"Low Income",D89&lt;=80000,"Moderate Income",D89&gt;80000,"High Income")</f>
        <v>Moderate Income</v>
      </c>
      <c r="F89">
        <v>5</v>
      </c>
      <c r="G89" t="s">
        <v>15</v>
      </c>
      <c r="H89" t="s">
        <v>23</v>
      </c>
      <c r="I89" t="s">
        <v>17</v>
      </c>
      <c r="J89">
        <v>4</v>
      </c>
      <c r="K89" t="s">
        <v>29</v>
      </c>
      <c r="L89" t="s">
        <v>27</v>
      </c>
      <c r="M89">
        <v>40</v>
      </c>
      <c r="N89" t="str">
        <f t="shared" si="1"/>
        <v>Middle-Aged</v>
      </c>
      <c r="O89" t="s">
        <v>20</v>
      </c>
    </row>
    <row r="90" spans="1:15">
      <c r="A90">
        <v>24119</v>
      </c>
      <c r="B90" t="s">
        <v>64</v>
      </c>
      <c r="C90" t="s">
        <v>49</v>
      </c>
      <c r="D90" s="1">
        <v>30000</v>
      </c>
      <c r="E90" t="str" cm="1">
        <f t="array" ref="E90">_xlfn.IFS(D90&lt;40000,"Low Income",D90&lt;=80000,"Moderate Income",D90&gt;80000,"High Income")</f>
        <v>Low Income</v>
      </c>
      <c r="F90">
        <v>0</v>
      </c>
      <c r="G90" t="s">
        <v>21</v>
      </c>
      <c r="H90" t="s">
        <v>22</v>
      </c>
      <c r="I90" t="s">
        <v>20</v>
      </c>
      <c r="J90">
        <v>1</v>
      </c>
      <c r="K90" t="s">
        <v>24</v>
      </c>
      <c r="L90" t="s">
        <v>19</v>
      </c>
      <c r="M90">
        <v>29</v>
      </c>
      <c r="N90" t="str">
        <f t="shared" si="1"/>
        <v>Young Adults</v>
      </c>
      <c r="O90" t="s">
        <v>20</v>
      </c>
    </row>
    <row r="91" spans="1:15">
      <c r="A91">
        <v>25458</v>
      </c>
      <c r="B91" t="s">
        <v>63</v>
      </c>
      <c r="C91" t="s">
        <v>49</v>
      </c>
      <c r="D91" s="1">
        <v>20000</v>
      </c>
      <c r="E91" t="str" cm="1">
        <f t="array" ref="E91">_xlfn.IFS(D91&lt;40000,"Low Income",D91&lt;=80000,"Moderate Income",D91&gt;80000,"High Income")</f>
        <v>Low Income</v>
      </c>
      <c r="F91">
        <v>1</v>
      </c>
      <c r="G91" t="s">
        <v>30</v>
      </c>
      <c r="H91" t="s">
        <v>28</v>
      </c>
      <c r="I91" t="s">
        <v>20</v>
      </c>
      <c r="J91">
        <v>1</v>
      </c>
      <c r="K91" t="s">
        <v>29</v>
      </c>
      <c r="L91" t="s">
        <v>19</v>
      </c>
      <c r="M91">
        <v>40</v>
      </c>
      <c r="N91" t="str">
        <f t="shared" si="1"/>
        <v>Middle-Aged</v>
      </c>
      <c r="O91" t="s">
        <v>17</v>
      </c>
    </row>
    <row r="92" spans="1:15">
      <c r="A92">
        <v>26886</v>
      </c>
      <c r="B92" t="s">
        <v>64</v>
      </c>
      <c r="C92" t="s">
        <v>47</v>
      </c>
      <c r="D92" s="1">
        <v>30000</v>
      </c>
      <c r="E92" t="str" cm="1">
        <f t="array" ref="E92">_xlfn.IFS(D92&lt;40000,"Low Income",D92&lt;=80000,"Moderate Income",D92&gt;80000,"High Income")</f>
        <v>Low Income</v>
      </c>
      <c r="F92">
        <v>0</v>
      </c>
      <c r="G92" t="s">
        <v>21</v>
      </c>
      <c r="H92" t="s">
        <v>22</v>
      </c>
      <c r="I92" t="s">
        <v>20</v>
      </c>
      <c r="J92">
        <v>1</v>
      </c>
      <c r="K92" t="s">
        <v>18</v>
      </c>
      <c r="L92" t="s">
        <v>19</v>
      </c>
      <c r="M92">
        <v>29</v>
      </c>
      <c r="N92" t="str">
        <f t="shared" si="1"/>
        <v>Young Adults</v>
      </c>
      <c r="O92" t="s">
        <v>17</v>
      </c>
    </row>
    <row r="93" spans="1:15">
      <c r="A93">
        <v>28436</v>
      </c>
      <c r="B93" t="s">
        <v>64</v>
      </c>
      <c r="C93" t="s">
        <v>49</v>
      </c>
      <c r="D93" s="1">
        <v>30000</v>
      </c>
      <c r="E93" t="str" cm="1">
        <f t="array" ref="E93">_xlfn.IFS(D93&lt;40000,"Low Income",D93&lt;=80000,"Moderate Income",D93&gt;80000,"High Income")</f>
        <v>Low Income</v>
      </c>
      <c r="F93">
        <v>0</v>
      </c>
      <c r="G93" t="s">
        <v>21</v>
      </c>
      <c r="H93" t="s">
        <v>22</v>
      </c>
      <c r="I93" t="s">
        <v>20</v>
      </c>
      <c r="J93">
        <v>1</v>
      </c>
      <c r="K93" t="s">
        <v>18</v>
      </c>
      <c r="L93" t="s">
        <v>19</v>
      </c>
      <c r="M93">
        <v>30</v>
      </c>
      <c r="N93" t="str">
        <f t="shared" si="1"/>
        <v>Young Adults</v>
      </c>
      <c r="O93" t="s">
        <v>17</v>
      </c>
    </row>
    <row r="94" spans="1:15">
      <c r="A94">
        <v>19562</v>
      </c>
      <c r="B94" t="s">
        <v>64</v>
      </c>
      <c r="C94" t="s">
        <v>47</v>
      </c>
      <c r="D94" s="1">
        <v>60000</v>
      </c>
      <c r="E94" t="str" cm="1">
        <f t="array" ref="E94">_xlfn.IFS(D94&lt;40000,"Low Income",D94&lt;=80000,"Moderate Income",D94&gt;80000,"High Income")</f>
        <v>Moderate Income</v>
      </c>
      <c r="F94">
        <v>2</v>
      </c>
      <c r="G94" t="s">
        <v>15</v>
      </c>
      <c r="H94" t="s">
        <v>23</v>
      </c>
      <c r="I94" t="s">
        <v>17</v>
      </c>
      <c r="J94">
        <v>1</v>
      </c>
      <c r="K94" t="s">
        <v>24</v>
      </c>
      <c r="L94" t="s">
        <v>27</v>
      </c>
      <c r="M94">
        <v>37</v>
      </c>
      <c r="N94" t="str">
        <f t="shared" si="1"/>
        <v>Middle-Aged</v>
      </c>
      <c r="O94" t="s">
        <v>17</v>
      </c>
    </row>
    <row r="95" spans="1:15">
      <c r="A95">
        <v>15608</v>
      </c>
      <c r="B95" t="s">
        <v>64</v>
      </c>
      <c r="C95" t="s">
        <v>47</v>
      </c>
      <c r="D95" s="1">
        <v>30000</v>
      </c>
      <c r="E95" t="str" cm="1">
        <f t="array" ref="E95">_xlfn.IFS(D95&lt;40000,"Low Income",D95&lt;=80000,"Moderate Income",D95&gt;80000,"High Income")</f>
        <v>Low Income</v>
      </c>
      <c r="F95">
        <v>0</v>
      </c>
      <c r="G95" t="s">
        <v>21</v>
      </c>
      <c r="H95" t="s">
        <v>22</v>
      </c>
      <c r="I95" t="s">
        <v>20</v>
      </c>
      <c r="J95">
        <v>1</v>
      </c>
      <c r="K95" t="s">
        <v>24</v>
      </c>
      <c r="L95" t="s">
        <v>19</v>
      </c>
      <c r="M95">
        <v>33</v>
      </c>
      <c r="N95" t="str">
        <f t="shared" si="1"/>
        <v>Middle-Aged</v>
      </c>
      <c r="O95" t="s">
        <v>20</v>
      </c>
    </row>
    <row r="96" spans="1:15">
      <c r="A96">
        <v>16487</v>
      </c>
      <c r="B96" t="s">
        <v>64</v>
      </c>
      <c r="C96" t="s">
        <v>47</v>
      </c>
      <c r="D96" s="1">
        <v>30000</v>
      </c>
      <c r="E96" t="str" cm="1">
        <f t="array" ref="E96">_xlfn.IFS(D96&lt;40000,"Low Income",D96&lt;=80000,"Moderate Income",D96&gt;80000,"High Income")</f>
        <v>Low Income</v>
      </c>
      <c r="F96">
        <v>3</v>
      </c>
      <c r="G96" t="s">
        <v>30</v>
      </c>
      <c r="H96" t="s">
        <v>16</v>
      </c>
      <c r="I96" t="s">
        <v>17</v>
      </c>
      <c r="J96">
        <v>2</v>
      </c>
      <c r="K96" t="s">
        <v>26</v>
      </c>
      <c r="L96" t="s">
        <v>27</v>
      </c>
      <c r="M96">
        <v>55</v>
      </c>
      <c r="N96" t="str">
        <f t="shared" si="1"/>
        <v>Middle-Aged</v>
      </c>
      <c r="O96" t="s">
        <v>20</v>
      </c>
    </row>
    <row r="97" spans="1:15">
      <c r="A97">
        <v>17197</v>
      </c>
      <c r="B97" t="s">
        <v>64</v>
      </c>
      <c r="C97" t="s">
        <v>47</v>
      </c>
      <c r="D97" s="1">
        <v>90000</v>
      </c>
      <c r="E97" t="str" cm="1">
        <f t="array" ref="E97">_xlfn.IFS(D97&lt;40000,"Low Income",D97&lt;=80000,"Moderate Income",D97&gt;80000,"High Income")</f>
        <v>High Income</v>
      </c>
      <c r="F97">
        <v>5</v>
      </c>
      <c r="G97" t="s">
        <v>21</v>
      </c>
      <c r="H97" t="s">
        <v>23</v>
      </c>
      <c r="I97" t="s">
        <v>17</v>
      </c>
      <c r="J97">
        <v>2</v>
      </c>
      <c r="K97" t="s">
        <v>61</v>
      </c>
      <c r="L97" t="s">
        <v>19</v>
      </c>
      <c r="M97">
        <v>62</v>
      </c>
      <c r="N97" t="str">
        <f t="shared" si="1"/>
        <v>Seniors</v>
      </c>
      <c r="O97" t="s">
        <v>20</v>
      </c>
    </row>
    <row r="98" spans="1:15">
      <c r="A98">
        <v>12507</v>
      </c>
      <c r="B98" t="s">
        <v>63</v>
      </c>
      <c r="C98" t="s">
        <v>49</v>
      </c>
      <c r="D98" s="1">
        <v>30000</v>
      </c>
      <c r="E98" t="str" cm="1">
        <f t="array" ref="E98">_xlfn.IFS(D98&lt;40000,"Low Income",D98&lt;=80000,"Moderate Income",D98&gt;80000,"High Income")</f>
        <v>Low Income</v>
      </c>
      <c r="F98">
        <v>1</v>
      </c>
      <c r="G98" t="s">
        <v>21</v>
      </c>
      <c r="H98" t="s">
        <v>22</v>
      </c>
      <c r="I98" t="s">
        <v>17</v>
      </c>
      <c r="J98">
        <v>1</v>
      </c>
      <c r="K98" t="s">
        <v>18</v>
      </c>
      <c r="L98" t="s">
        <v>19</v>
      </c>
      <c r="M98">
        <v>43</v>
      </c>
      <c r="N98" t="str">
        <f t="shared" si="1"/>
        <v>Middle-Aged</v>
      </c>
      <c r="O98" t="s">
        <v>20</v>
      </c>
    </row>
    <row r="99" spans="1:15">
      <c r="A99">
        <v>23940</v>
      </c>
      <c r="B99" t="s">
        <v>63</v>
      </c>
      <c r="C99" t="s">
        <v>49</v>
      </c>
      <c r="D99" s="1">
        <v>40000</v>
      </c>
      <c r="E99" t="str" cm="1">
        <f t="array" ref="E99">_xlfn.IFS(D99&lt;40000,"Low Income",D99&lt;=80000,"Moderate Income",D99&gt;80000,"High Income")</f>
        <v>Moderate Income</v>
      </c>
      <c r="F99">
        <v>1</v>
      </c>
      <c r="G99" t="s">
        <v>15</v>
      </c>
      <c r="H99" t="s">
        <v>16</v>
      </c>
      <c r="I99" t="s">
        <v>17</v>
      </c>
      <c r="J99">
        <v>1</v>
      </c>
      <c r="K99" t="s">
        <v>18</v>
      </c>
      <c r="L99" t="s">
        <v>19</v>
      </c>
      <c r="M99">
        <v>44</v>
      </c>
      <c r="N99" t="str">
        <f t="shared" si="1"/>
        <v>Middle-Aged</v>
      </c>
      <c r="O99" t="s">
        <v>17</v>
      </c>
    </row>
    <row r="100" spans="1:15">
      <c r="A100">
        <v>19441</v>
      </c>
      <c r="B100" t="s">
        <v>63</v>
      </c>
      <c r="C100" t="s">
        <v>49</v>
      </c>
      <c r="D100" s="1">
        <v>40000</v>
      </c>
      <c r="E100" t="str" cm="1">
        <f t="array" ref="E100">_xlfn.IFS(D100&lt;40000,"Low Income",D100&lt;=80000,"Moderate Income",D100&gt;80000,"High Income")</f>
        <v>Moderate Income</v>
      </c>
      <c r="F100">
        <v>0</v>
      </c>
      <c r="G100" t="s">
        <v>34</v>
      </c>
      <c r="H100" t="s">
        <v>22</v>
      </c>
      <c r="I100" t="s">
        <v>17</v>
      </c>
      <c r="J100">
        <v>0</v>
      </c>
      <c r="K100" t="s">
        <v>18</v>
      </c>
      <c r="L100" t="s">
        <v>19</v>
      </c>
      <c r="M100">
        <v>25</v>
      </c>
      <c r="N100" t="str">
        <f t="shared" si="1"/>
        <v>Young Adults</v>
      </c>
      <c r="O100" t="s">
        <v>17</v>
      </c>
    </row>
    <row r="101" spans="1:15">
      <c r="A101">
        <v>26852</v>
      </c>
      <c r="B101" t="s">
        <v>63</v>
      </c>
      <c r="C101" t="s">
        <v>47</v>
      </c>
      <c r="D101" s="1">
        <v>20000</v>
      </c>
      <c r="E101" t="str" cm="1">
        <f t="array" ref="E101">_xlfn.IFS(D101&lt;40000,"Low Income",D101&lt;=80000,"Moderate Income",D101&gt;80000,"High Income")</f>
        <v>Low Income</v>
      </c>
      <c r="F101">
        <v>3</v>
      </c>
      <c r="G101" t="s">
        <v>30</v>
      </c>
      <c r="H101" t="s">
        <v>28</v>
      </c>
      <c r="I101" t="s">
        <v>17</v>
      </c>
      <c r="J101">
        <v>2</v>
      </c>
      <c r="K101" t="s">
        <v>18</v>
      </c>
      <c r="L101" t="s">
        <v>19</v>
      </c>
      <c r="M101">
        <v>43</v>
      </c>
      <c r="N101" t="str">
        <f t="shared" si="1"/>
        <v>Middle-Aged</v>
      </c>
      <c r="O101" t="s">
        <v>20</v>
      </c>
    </row>
    <row r="102" spans="1:15">
      <c r="A102">
        <v>12274</v>
      </c>
      <c r="B102" t="s">
        <v>64</v>
      </c>
      <c r="C102" t="s">
        <v>49</v>
      </c>
      <c r="D102" s="1">
        <v>10000</v>
      </c>
      <c r="E102" t="str" cm="1">
        <f t="array" ref="E102">_xlfn.IFS(D102&lt;40000,"Low Income",D102&lt;=80000,"Moderate Income",D102&gt;80000,"High Income")</f>
        <v>Low Income</v>
      </c>
      <c r="F102">
        <v>2</v>
      </c>
      <c r="G102" t="s">
        <v>30</v>
      </c>
      <c r="H102" t="s">
        <v>28</v>
      </c>
      <c r="I102" t="s">
        <v>17</v>
      </c>
      <c r="J102">
        <v>0</v>
      </c>
      <c r="K102" t="s">
        <v>18</v>
      </c>
      <c r="L102" t="s">
        <v>19</v>
      </c>
      <c r="M102">
        <v>35</v>
      </c>
      <c r="N102" t="str">
        <f t="shared" si="1"/>
        <v>Middle-Aged</v>
      </c>
      <c r="O102" t="s">
        <v>20</v>
      </c>
    </row>
    <row r="103" spans="1:15">
      <c r="A103">
        <v>20236</v>
      </c>
      <c r="B103" t="s">
        <v>64</v>
      </c>
      <c r="C103" t="s">
        <v>49</v>
      </c>
      <c r="D103" s="1">
        <v>60000</v>
      </c>
      <c r="E103" t="str" cm="1">
        <f t="array" ref="E103">_xlfn.IFS(D103&lt;40000,"Low Income",D103&lt;=80000,"Moderate Income",D103&gt;80000,"High Income")</f>
        <v>Moderate Income</v>
      </c>
      <c r="F103">
        <v>3</v>
      </c>
      <c r="G103" t="s">
        <v>15</v>
      </c>
      <c r="H103" t="s">
        <v>23</v>
      </c>
      <c r="I103" t="s">
        <v>20</v>
      </c>
      <c r="J103">
        <v>2</v>
      </c>
      <c r="K103" t="s">
        <v>18</v>
      </c>
      <c r="L103" t="s">
        <v>27</v>
      </c>
      <c r="M103">
        <v>43</v>
      </c>
      <c r="N103" t="str">
        <f t="shared" si="1"/>
        <v>Middle-Aged</v>
      </c>
      <c r="O103" t="s">
        <v>17</v>
      </c>
    </row>
    <row r="104" spans="1:15">
      <c r="A104">
        <v>24149</v>
      </c>
      <c r="B104" t="s">
        <v>63</v>
      </c>
      <c r="C104" t="s">
        <v>49</v>
      </c>
      <c r="D104" s="1">
        <v>10000</v>
      </c>
      <c r="E104" t="str" cm="1">
        <f t="array" ref="E104">_xlfn.IFS(D104&lt;40000,"Low Income",D104&lt;=80000,"Moderate Income",D104&gt;80000,"High Income")</f>
        <v>Low Income</v>
      </c>
      <c r="F104">
        <v>2</v>
      </c>
      <c r="G104" t="s">
        <v>21</v>
      </c>
      <c r="H104" t="s">
        <v>28</v>
      </c>
      <c r="I104" t="s">
        <v>17</v>
      </c>
      <c r="J104">
        <v>0</v>
      </c>
      <c r="K104" t="s">
        <v>29</v>
      </c>
      <c r="L104" t="s">
        <v>19</v>
      </c>
      <c r="M104">
        <v>49</v>
      </c>
      <c r="N104" t="str">
        <f t="shared" si="1"/>
        <v>Middle-Aged</v>
      </c>
      <c r="O104" t="s">
        <v>20</v>
      </c>
    </row>
    <row r="105" spans="1:15">
      <c r="A105">
        <v>26139</v>
      </c>
      <c r="B105" t="s">
        <v>64</v>
      </c>
      <c r="C105" t="s">
        <v>49</v>
      </c>
      <c r="D105" s="1">
        <v>60000</v>
      </c>
      <c r="E105" t="str" cm="1">
        <f t="array" ref="E105">_xlfn.IFS(D105&lt;40000,"Low Income",D105&lt;=80000,"Moderate Income",D105&gt;80000,"High Income")</f>
        <v>Moderate Income</v>
      </c>
      <c r="F105">
        <v>1</v>
      </c>
      <c r="G105" t="s">
        <v>21</v>
      </c>
      <c r="H105" t="s">
        <v>16</v>
      </c>
      <c r="I105" t="s">
        <v>17</v>
      </c>
      <c r="J105">
        <v>1</v>
      </c>
      <c r="K105" t="s">
        <v>26</v>
      </c>
      <c r="L105" t="s">
        <v>27</v>
      </c>
      <c r="M105">
        <v>45</v>
      </c>
      <c r="N105" t="str">
        <f t="shared" si="1"/>
        <v>Middle-Aged</v>
      </c>
      <c r="O105" t="s">
        <v>20</v>
      </c>
    </row>
    <row r="106" spans="1:15">
      <c r="A106">
        <v>18491</v>
      </c>
      <c r="B106" t="s">
        <v>64</v>
      </c>
      <c r="C106" t="s">
        <v>47</v>
      </c>
      <c r="D106" s="1">
        <v>70000</v>
      </c>
      <c r="E106" t="str" cm="1">
        <f t="array" ref="E106">_xlfn.IFS(D106&lt;40000,"Low Income",D106&lt;=80000,"Moderate Income",D106&gt;80000,"High Income")</f>
        <v>Moderate Income</v>
      </c>
      <c r="F106">
        <v>2</v>
      </c>
      <c r="G106" t="s">
        <v>30</v>
      </c>
      <c r="H106" t="s">
        <v>23</v>
      </c>
      <c r="I106" t="s">
        <v>17</v>
      </c>
      <c r="J106">
        <v>2</v>
      </c>
      <c r="K106" t="s">
        <v>26</v>
      </c>
      <c r="L106" t="s">
        <v>27</v>
      </c>
      <c r="M106">
        <v>49</v>
      </c>
      <c r="N106" t="str">
        <f t="shared" si="1"/>
        <v>Middle-Aged</v>
      </c>
      <c r="O106" t="s">
        <v>17</v>
      </c>
    </row>
    <row r="107" spans="1:15">
      <c r="A107">
        <v>22707</v>
      </c>
      <c r="B107" t="s">
        <v>64</v>
      </c>
      <c r="C107" t="s">
        <v>47</v>
      </c>
      <c r="D107" s="1">
        <v>30000</v>
      </c>
      <c r="E107" t="str" cm="1">
        <f t="array" ref="E107">_xlfn.IFS(D107&lt;40000,"Low Income",D107&lt;=80000,"Moderate Income",D107&gt;80000,"High Income")</f>
        <v>Low Income</v>
      </c>
      <c r="F107">
        <v>0</v>
      </c>
      <c r="G107" t="s">
        <v>21</v>
      </c>
      <c r="H107" t="s">
        <v>22</v>
      </c>
      <c r="I107" t="s">
        <v>20</v>
      </c>
      <c r="J107">
        <v>1</v>
      </c>
      <c r="K107" t="s">
        <v>24</v>
      </c>
      <c r="L107" t="s">
        <v>19</v>
      </c>
      <c r="M107">
        <v>30</v>
      </c>
      <c r="N107" t="str">
        <f t="shared" si="1"/>
        <v>Young Adults</v>
      </c>
      <c r="O107" t="s">
        <v>20</v>
      </c>
    </row>
    <row r="108" spans="1:15">
      <c r="A108">
        <v>20430</v>
      </c>
      <c r="B108" t="s">
        <v>63</v>
      </c>
      <c r="C108" t="s">
        <v>49</v>
      </c>
      <c r="D108" s="1">
        <v>70000</v>
      </c>
      <c r="E108" t="str" cm="1">
        <f t="array" ref="E108">_xlfn.IFS(D108&lt;40000,"Low Income",D108&lt;=80000,"Moderate Income",D108&gt;80000,"High Income")</f>
        <v>Moderate Income</v>
      </c>
      <c r="F108">
        <v>2</v>
      </c>
      <c r="G108" t="s">
        <v>21</v>
      </c>
      <c r="H108" t="s">
        <v>16</v>
      </c>
      <c r="I108" t="s">
        <v>17</v>
      </c>
      <c r="J108">
        <v>2</v>
      </c>
      <c r="K108" t="s">
        <v>26</v>
      </c>
      <c r="L108" t="s">
        <v>27</v>
      </c>
      <c r="M108">
        <v>52</v>
      </c>
      <c r="N108" t="str">
        <f t="shared" si="1"/>
        <v>Middle-Aged</v>
      </c>
      <c r="O108" t="s">
        <v>17</v>
      </c>
    </row>
    <row r="109" spans="1:15">
      <c r="A109">
        <v>27494</v>
      </c>
      <c r="B109" t="s">
        <v>64</v>
      </c>
      <c r="C109" t="s">
        <v>47</v>
      </c>
      <c r="D109" s="1">
        <v>40000</v>
      </c>
      <c r="E109" t="str" cm="1">
        <f t="array" ref="E109">_xlfn.IFS(D109&lt;40000,"Low Income",D109&lt;=80000,"Moderate Income",D109&gt;80000,"High Income")</f>
        <v>Moderate Income</v>
      </c>
      <c r="F109">
        <v>2</v>
      </c>
      <c r="G109" t="s">
        <v>21</v>
      </c>
      <c r="H109" t="s">
        <v>16</v>
      </c>
      <c r="I109" t="s">
        <v>20</v>
      </c>
      <c r="J109">
        <v>2</v>
      </c>
      <c r="K109" t="s">
        <v>29</v>
      </c>
      <c r="L109" t="s">
        <v>27</v>
      </c>
      <c r="M109">
        <v>53</v>
      </c>
      <c r="N109" t="str">
        <f t="shared" si="1"/>
        <v>Middle-Aged</v>
      </c>
      <c r="O109" t="s">
        <v>17</v>
      </c>
    </row>
    <row r="110" spans="1:15">
      <c r="A110">
        <v>26829</v>
      </c>
      <c r="B110" t="s">
        <v>63</v>
      </c>
      <c r="C110" t="s">
        <v>47</v>
      </c>
      <c r="D110" s="1">
        <v>40000</v>
      </c>
      <c r="E110" t="str" cm="1">
        <f t="array" ref="E110">_xlfn.IFS(D110&lt;40000,"Low Income",D110&lt;=80000,"Moderate Income",D110&gt;80000,"High Income")</f>
        <v>Moderate Income</v>
      </c>
      <c r="F110">
        <v>0</v>
      </c>
      <c r="G110" t="s">
        <v>15</v>
      </c>
      <c r="H110" t="s">
        <v>22</v>
      </c>
      <c r="I110" t="s">
        <v>17</v>
      </c>
      <c r="J110">
        <v>0</v>
      </c>
      <c r="K110" t="s">
        <v>18</v>
      </c>
      <c r="L110" t="s">
        <v>19</v>
      </c>
      <c r="M110">
        <v>38</v>
      </c>
      <c r="N110" t="str">
        <f t="shared" si="1"/>
        <v>Middle-Aged</v>
      </c>
      <c r="O110" t="s">
        <v>17</v>
      </c>
    </row>
    <row r="111" spans="1:15">
      <c r="A111">
        <v>28395</v>
      </c>
      <c r="B111" t="s">
        <v>64</v>
      </c>
      <c r="C111" t="s">
        <v>49</v>
      </c>
      <c r="D111" s="1">
        <v>40000</v>
      </c>
      <c r="E111" t="str" cm="1">
        <f t="array" ref="E111">_xlfn.IFS(D111&lt;40000,"Low Income",D111&lt;=80000,"Moderate Income",D111&gt;80000,"High Income")</f>
        <v>Moderate Income</v>
      </c>
      <c r="F111">
        <v>0</v>
      </c>
      <c r="G111" t="s">
        <v>15</v>
      </c>
      <c r="H111" t="s">
        <v>23</v>
      </c>
      <c r="I111" t="s">
        <v>20</v>
      </c>
      <c r="J111">
        <v>0</v>
      </c>
      <c r="K111" t="s">
        <v>18</v>
      </c>
      <c r="L111" t="s">
        <v>19</v>
      </c>
      <c r="M111">
        <v>39</v>
      </c>
      <c r="N111" t="str">
        <f t="shared" si="1"/>
        <v>Middle-Aged</v>
      </c>
      <c r="O111" t="s">
        <v>17</v>
      </c>
    </row>
    <row r="112" spans="1:15">
      <c r="A112">
        <v>21006</v>
      </c>
      <c r="B112" t="s">
        <v>64</v>
      </c>
      <c r="C112" t="s">
        <v>47</v>
      </c>
      <c r="D112" s="1">
        <v>30000</v>
      </c>
      <c r="E112" t="str" cm="1">
        <f t="array" ref="E112">_xlfn.IFS(D112&lt;40000,"Low Income",D112&lt;=80000,"Moderate Income",D112&gt;80000,"High Income")</f>
        <v>Low Income</v>
      </c>
      <c r="F112">
        <v>1</v>
      </c>
      <c r="G112" t="s">
        <v>21</v>
      </c>
      <c r="H112" t="s">
        <v>28</v>
      </c>
      <c r="I112" t="s">
        <v>20</v>
      </c>
      <c r="J112">
        <v>0</v>
      </c>
      <c r="K112" t="s">
        <v>18</v>
      </c>
      <c r="L112" t="s">
        <v>19</v>
      </c>
      <c r="M112">
        <v>46</v>
      </c>
      <c r="N112" t="str">
        <f t="shared" si="1"/>
        <v>Middle-Aged</v>
      </c>
      <c r="O112" t="s">
        <v>17</v>
      </c>
    </row>
    <row r="113" spans="1:15">
      <c r="A113">
        <v>14682</v>
      </c>
      <c r="B113" t="s">
        <v>64</v>
      </c>
      <c r="C113" t="s">
        <v>47</v>
      </c>
      <c r="D113" s="1">
        <v>70000</v>
      </c>
      <c r="E113" t="str" cm="1">
        <f t="array" ref="E113">_xlfn.IFS(D113&lt;40000,"Low Income",D113&lt;=80000,"Moderate Income",D113&gt;80000,"High Income")</f>
        <v>Moderate Income</v>
      </c>
      <c r="F113">
        <v>0</v>
      </c>
      <c r="G113" t="s">
        <v>15</v>
      </c>
      <c r="H113" t="s">
        <v>23</v>
      </c>
      <c r="I113" t="s">
        <v>20</v>
      </c>
      <c r="J113">
        <v>1</v>
      </c>
      <c r="K113" t="s">
        <v>26</v>
      </c>
      <c r="L113" t="s">
        <v>27</v>
      </c>
      <c r="M113">
        <v>38</v>
      </c>
      <c r="N113" t="str">
        <f t="shared" si="1"/>
        <v>Middle-Aged</v>
      </c>
      <c r="O113" t="s">
        <v>20</v>
      </c>
    </row>
    <row r="114" spans="1:15">
      <c r="A114">
        <v>17650</v>
      </c>
      <c r="B114" t="s">
        <v>64</v>
      </c>
      <c r="C114" t="s">
        <v>47</v>
      </c>
      <c r="D114" s="1">
        <v>40000</v>
      </c>
      <c r="E114" t="str" cm="1">
        <f t="array" ref="E114">_xlfn.IFS(D114&lt;40000,"Low Income",D114&lt;=80000,"Moderate Income",D114&gt;80000,"High Income")</f>
        <v>Moderate Income</v>
      </c>
      <c r="F114">
        <v>2</v>
      </c>
      <c r="G114" t="s">
        <v>21</v>
      </c>
      <c r="H114" t="s">
        <v>22</v>
      </c>
      <c r="I114" t="s">
        <v>17</v>
      </c>
      <c r="J114">
        <v>2</v>
      </c>
      <c r="K114" t="s">
        <v>29</v>
      </c>
      <c r="L114" t="s">
        <v>19</v>
      </c>
      <c r="M114">
        <v>35</v>
      </c>
      <c r="N114" t="str">
        <f t="shared" si="1"/>
        <v>Middle-Aged</v>
      </c>
      <c r="O114" t="s">
        <v>20</v>
      </c>
    </row>
    <row r="115" spans="1:15">
      <c r="A115">
        <v>29191</v>
      </c>
      <c r="B115" t="s">
        <v>64</v>
      </c>
      <c r="C115" t="s">
        <v>47</v>
      </c>
      <c r="D115" s="1">
        <v>130000</v>
      </c>
      <c r="E115" t="str" cm="1">
        <f t="array" ref="E115">_xlfn.IFS(D115&lt;40000,"Low Income",D115&lt;=80000,"Moderate Income",D115&gt;80000,"High Income")</f>
        <v>High Income</v>
      </c>
      <c r="F115">
        <v>1</v>
      </c>
      <c r="G115" t="s">
        <v>34</v>
      </c>
      <c r="H115" t="s">
        <v>31</v>
      </c>
      <c r="I115" t="s">
        <v>20</v>
      </c>
      <c r="J115">
        <v>1</v>
      </c>
      <c r="K115" t="s">
        <v>18</v>
      </c>
      <c r="L115" t="s">
        <v>27</v>
      </c>
      <c r="M115">
        <v>36</v>
      </c>
      <c r="N115" t="str">
        <f t="shared" si="1"/>
        <v>Middle-Aged</v>
      </c>
      <c r="O115" t="s">
        <v>17</v>
      </c>
    </row>
    <row r="116" spans="1:15">
      <c r="A116">
        <v>15030</v>
      </c>
      <c r="B116" t="s">
        <v>63</v>
      </c>
      <c r="C116" t="s">
        <v>49</v>
      </c>
      <c r="D116" s="1">
        <v>20000</v>
      </c>
      <c r="E116" t="str" cm="1">
        <f t="array" ref="E116">_xlfn.IFS(D116&lt;40000,"Low Income",D116&lt;=80000,"Moderate Income",D116&gt;80000,"High Income")</f>
        <v>Low Income</v>
      </c>
      <c r="F116">
        <v>0</v>
      </c>
      <c r="G116" t="s">
        <v>15</v>
      </c>
      <c r="H116" t="s">
        <v>22</v>
      </c>
      <c r="I116" t="s">
        <v>17</v>
      </c>
      <c r="J116">
        <v>0</v>
      </c>
      <c r="K116" t="s">
        <v>18</v>
      </c>
      <c r="L116" t="s">
        <v>27</v>
      </c>
      <c r="M116">
        <v>26</v>
      </c>
      <c r="N116" t="str">
        <f t="shared" si="1"/>
        <v>Young Adults</v>
      </c>
      <c r="O116" t="s">
        <v>17</v>
      </c>
    </row>
    <row r="117" spans="1:15">
      <c r="A117">
        <v>24140</v>
      </c>
      <c r="B117" t="s">
        <v>64</v>
      </c>
      <c r="C117" t="s">
        <v>49</v>
      </c>
      <c r="D117" s="1">
        <v>10000</v>
      </c>
      <c r="E117" t="str" cm="1">
        <f t="array" ref="E117">_xlfn.IFS(D117&lt;40000,"Low Income",D117&lt;=80000,"Moderate Income",D117&gt;80000,"High Income")</f>
        <v>Low Income</v>
      </c>
      <c r="F117">
        <v>0</v>
      </c>
      <c r="G117" t="s">
        <v>34</v>
      </c>
      <c r="H117" t="s">
        <v>28</v>
      </c>
      <c r="I117" t="s">
        <v>20</v>
      </c>
      <c r="J117">
        <v>0</v>
      </c>
      <c r="K117" t="s">
        <v>18</v>
      </c>
      <c r="L117" t="s">
        <v>19</v>
      </c>
      <c r="M117">
        <v>30</v>
      </c>
      <c r="N117" t="str">
        <f t="shared" si="1"/>
        <v>Young Adults</v>
      </c>
      <c r="O117" t="s">
        <v>17</v>
      </c>
    </row>
    <row r="118" spans="1:15">
      <c r="A118">
        <v>22496</v>
      </c>
      <c r="B118" t="s">
        <v>63</v>
      </c>
      <c r="C118" t="s">
        <v>47</v>
      </c>
      <c r="D118" s="1">
        <v>30000</v>
      </c>
      <c r="E118" t="str" cm="1">
        <f t="array" ref="E118">_xlfn.IFS(D118&lt;40000,"Low Income",D118&lt;=80000,"Moderate Income",D118&gt;80000,"High Income")</f>
        <v>Low Income</v>
      </c>
      <c r="F118">
        <v>1</v>
      </c>
      <c r="G118" t="s">
        <v>15</v>
      </c>
      <c r="H118" t="s">
        <v>16</v>
      </c>
      <c r="I118" t="s">
        <v>17</v>
      </c>
      <c r="J118">
        <v>2</v>
      </c>
      <c r="K118" t="s">
        <v>18</v>
      </c>
      <c r="L118" t="s">
        <v>19</v>
      </c>
      <c r="M118">
        <v>42</v>
      </c>
      <c r="N118" t="str">
        <f t="shared" si="1"/>
        <v>Middle-Aged</v>
      </c>
      <c r="O118" t="s">
        <v>20</v>
      </c>
    </row>
    <row r="119" spans="1:15">
      <c r="A119">
        <v>24065</v>
      </c>
      <c r="B119" t="s">
        <v>64</v>
      </c>
      <c r="C119" t="s">
        <v>47</v>
      </c>
      <c r="D119" s="1">
        <v>20000</v>
      </c>
      <c r="E119" t="str" cm="1">
        <f t="array" ref="E119">_xlfn.IFS(D119&lt;40000,"Low Income",D119&lt;=80000,"Moderate Income",D119&gt;80000,"High Income")</f>
        <v>Low Income</v>
      </c>
      <c r="F119">
        <v>0</v>
      </c>
      <c r="G119" t="s">
        <v>30</v>
      </c>
      <c r="H119" t="s">
        <v>28</v>
      </c>
      <c r="I119" t="s">
        <v>17</v>
      </c>
      <c r="J119">
        <v>0</v>
      </c>
      <c r="K119" t="s">
        <v>18</v>
      </c>
      <c r="L119" t="s">
        <v>19</v>
      </c>
      <c r="M119">
        <v>40</v>
      </c>
      <c r="N119" t="str">
        <f t="shared" si="1"/>
        <v>Middle-Aged</v>
      </c>
      <c r="O119" t="s">
        <v>17</v>
      </c>
    </row>
    <row r="120" spans="1:15">
      <c r="A120">
        <v>19914</v>
      </c>
      <c r="B120" t="s">
        <v>63</v>
      </c>
      <c r="C120" t="s">
        <v>49</v>
      </c>
      <c r="D120" s="1">
        <v>80000</v>
      </c>
      <c r="E120" t="str" cm="1">
        <f t="array" ref="E120">_xlfn.IFS(D120&lt;40000,"Low Income",D120&lt;=80000,"Moderate Income",D120&gt;80000,"High Income")</f>
        <v>Moderate Income</v>
      </c>
      <c r="F120">
        <v>5</v>
      </c>
      <c r="G120" t="s">
        <v>15</v>
      </c>
      <c r="H120" t="s">
        <v>31</v>
      </c>
      <c r="I120" t="s">
        <v>17</v>
      </c>
      <c r="J120">
        <v>2</v>
      </c>
      <c r="K120" t="s">
        <v>24</v>
      </c>
      <c r="L120" t="s">
        <v>19</v>
      </c>
      <c r="M120">
        <v>62</v>
      </c>
      <c r="N120" t="str">
        <f t="shared" si="1"/>
        <v>Seniors</v>
      </c>
      <c r="O120" t="s">
        <v>20</v>
      </c>
    </row>
    <row r="121" spans="1:15">
      <c r="A121">
        <v>12871</v>
      </c>
      <c r="B121" t="s">
        <v>64</v>
      </c>
      <c r="C121" t="s">
        <v>47</v>
      </c>
      <c r="D121" s="1">
        <v>30000</v>
      </c>
      <c r="E121" t="str" cm="1">
        <f t="array" ref="E121">_xlfn.IFS(D121&lt;40000,"Low Income",D121&lt;=80000,"Moderate Income",D121&gt;80000,"High Income")</f>
        <v>Low Income</v>
      </c>
      <c r="F121">
        <v>0</v>
      </c>
      <c r="G121" t="s">
        <v>21</v>
      </c>
      <c r="H121" t="s">
        <v>22</v>
      </c>
      <c r="I121" t="s">
        <v>20</v>
      </c>
      <c r="J121">
        <v>1</v>
      </c>
      <c r="K121" t="s">
        <v>24</v>
      </c>
      <c r="L121" t="s">
        <v>19</v>
      </c>
      <c r="M121">
        <v>29</v>
      </c>
      <c r="N121" t="str">
        <f t="shared" si="1"/>
        <v>Young Adults</v>
      </c>
      <c r="O121" t="s">
        <v>20</v>
      </c>
    </row>
    <row r="122" spans="1:15">
      <c r="A122">
        <v>22988</v>
      </c>
      <c r="B122" t="s">
        <v>63</v>
      </c>
      <c r="C122" t="s">
        <v>47</v>
      </c>
      <c r="D122" s="1">
        <v>40000</v>
      </c>
      <c r="E122" t="str" cm="1">
        <f t="array" ref="E122">_xlfn.IFS(D122&lt;40000,"Low Income",D122&lt;=80000,"Moderate Income",D122&gt;80000,"High Income")</f>
        <v>Moderate Income</v>
      </c>
      <c r="F122">
        <v>2</v>
      </c>
      <c r="G122" t="s">
        <v>15</v>
      </c>
      <c r="H122" t="s">
        <v>31</v>
      </c>
      <c r="I122" t="s">
        <v>17</v>
      </c>
      <c r="J122">
        <v>2</v>
      </c>
      <c r="K122" t="s">
        <v>26</v>
      </c>
      <c r="L122" t="s">
        <v>27</v>
      </c>
      <c r="M122">
        <v>66</v>
      </c>
      <c r="N122" t="str">
        <f t="shared" si="1"/>
        <v>Seniors</v>
      </c>
      <c r="O122" t="s">
        <v>17</v>
      </c>
    </row>
    <row r="123" spans="1:15">
      <c r="A123">
        <v>15922</v>
      </c>
      <c r="B123" t="s">
        <v>63</v>
      </c>
      <c r="C123" t="s">
        <v>49</v>
      </c>
      <c r="D123" s="1">
        <v>150000</v>
      </c>
      <c r="E123" t="str" cm="1">
        <f t="array" ref="E123">_xlfn.IFS(D123&lt;40000,"Low Income",D123&lt;=80000,"Moderate Income",D123&gt;80000,"High Income")</f>
        <v>High Income</v>
      </c>
      <c r="F123">
        <v>2</v>
      </c>
      <c r="G123" t="s">
        <v>30</v>
      </c>
      <c r="H123" t="s">
        <v>23</v>
      </c>
      <c r="I123" t="s">
        <v>17</v>
      </c>
      <c r="J123">
        <v>4</v>
      </c>
      <c r="K123" t="s">
        <v>18</v>
      </c>
      <c r="L123" t="s">
        <v>19</v>
      </c>
      <c r="M123">
        <v>48</v>
      </c>
      <c r="N123" t="str">
        <f t="shared" si="1"/>
        <v>Middle-Aged</v>
      </c>
      <c r="O123" t="s">
        <v>20</v>
      </c>
    </row>
    <row r="124" spans="1:15">
      <c r="A124">
        <v>12344</v>
      </c>
      <c r="B124" t="s">
        <v>64</v>
      </c>
      <c r="C124" t="s">
        <v>47</v>
      </c>
      <c r="D124" s="1">
        <v>80000</v>
      </c>
      <c r="E124" t="str" cm="1">
        <f t="array" ref="E124">_xlfn.IFS(D124&lt;40000,"Low Income",D124&lt;=80000,"Moderate Income",D124&gt;80000,"High Income")</f>
        <v>Moderate Income</v>
      </c>
      <c r="F124">
        <v>0</v>
      </c>
      <c r="G124" t="s">
        <v>15</v>
      </c>
      <c r="H124" t="s">
        <v>23</v>
      </c>
      <c r="I124" t="s">
        <v>20</v>
      </c>
      <c r="J124">
        <v>3</v>
      </c>
      <c r="K124" t="s">
        <v>61</v>
      </c>
      <c r="L124" t="s">
        <v>27</v>
      </c>
      <c r="M124">
        <v>31</v>
      </c>
      <c r="N124" t="str">
        <f t="shared" si="1"/>
        <v>Middle-Aged</v>
      </c>
      <c r="O124" t="s">
        <v>20</v>
      </c>
    </row>
    <row r="125" spans="1:15">
      <c r="A125">
        <v>23627</v>
      </c>
      <c r="B125" t="s">
        <v>64</v>
      </c>
      <c r="C125" t="s">
        <v>47</v>
      </c>
      <c r="D125" s="1">
        <v>100000</v>
      </c>
      <c r="E125" t="str" cm="1">
        <f t="array" ref="E125">_xlfn.IFS(D125&lt;40000,"Low Income",D125&lt;=80000,"Moderate Income",D125&gt;80000,"High Income")</f>
        <v>High Income</v>
      </c>
      <c r="F125">
        <v>3</v>
      </c>
      <c r="G125" t="s">
        <v>21</v>
      </c>
      <c r="H125" t="s">
        <v>31</v>
      </c>
      <c r="I125" t="s">
        <v>20</v>
      </c>
      <c r="J125">
        <v>4</v>
      </c>
      <c r="K125" t="s">
        <v>26</v>
      </c>
      <c r="L125" t="s">
        <v>19</v>
      </c>
      <c r="M125">
        <v>56</v>
      </c>
      <c r="N125" t="str">
        <f t="shared" si="1"/>
        <v>Middle-Aged</v>
      </c>
      <c r="O125" t="s">
        <v>20</v>
      </c>
    </row>
    <row r="126" spans="1:15">
      <c r="A126">
        <v>27775</v>
      </c>
      <c r="B126" t="s">
        <v>64</v>
      </c>
      <c r="C126" t="s">
        <v>47</v>
      </c>
      <c r="D126" s="1">
        <v>40000</v>
      </c>
      <c r="E126" t="str" cm="1">
        <f t="array" ref="E126">_xlfn.IFS(D126&lt;40000,"Low Income",D126&lt;=80000,"Moderate Income",D126&gt;80000,"High Income")</f>
        <v>Moderate Income</v>
      </c>
      <c r="F126">
        <v>0</v>
      </c>
      <c r="G126" t="s">
        <v>15</v>
      </c>
      <c r="H126" t="s">
        <v>22</v>
      </c>
      <c r="I126" t="s">
        <v>20</v>
      </c>
      <c r="J126">
        <v>0</v>
      </c>
      <c r="K126" t="s">
        <v>18</v>
      </c>
      <c r="L126" t="s">
        <v>19</v>
      </c>
      <c r="M126">
        <v>38</v>
      </c>
      <c r="N126" t="str">
        <f t="shared" si="1"/>
        <v>Middle-Aged</v>
      </c>
      <c r="O126" t="s">
        <v>17</v>
      </c>
    </row>
    <row r="127" spans="1:15">
      <c r="A127">
        <v>29301</v>
      </c>
      <c r="B127" t="s">
        <v>63</v>
      </c>
      <c r="C127" t="s">
        <v>49</v>
      </c>
      <c r="D127" s="1">
        <v>80000</v>
      </c>
      <c r="E127" t="str" cm="1">
        <f t="array" ref="E127">_xlfn.IFS(D127&lt;40000,"Low Income",D127&lt;=80000,"Moderate Income",D127&gt;80000,"High Income")</f>
        <v>Moderate Income</v>
      </c>
      <c r="F127">
        <v>5</v>
      </c>
      <c r="G127" t="s">
        <v>15</v>
      </c>
      <c r="H127" t="s">
        <v>23</v>
      </c>
      <c r="I127" t="s">
        <v>17</v>
      </c>
      <c r="J127">
        <v>4</v>
      </c>
      <c r="K127" t="s">
        <v>29</v>
      </c>
      <c r="L127" t="s">
        <v>27</v>
      </c>
      <c r="M127">
        <v>40</v>
      </c>
      <c r="N127" t="str">
        <f t="shared" si="1"/>
        <v>Middle-Aged</v>
      </c>
      <c r="O127" t="s">
        <v>20</v>
      </c>
    </row>
    <row r="128" spans="1:15">
      <c r="A128">
        <v>12716</v>
      </c>
      <c r="B128" t="s">
        <v>64</v>
      </c>
      <c r="C128" t="s">
        <v>49</v>
      </c>
      <c r="D128" s="1">
        <v>30000</v>
      </c>
      <c r="E128" t="str" cm="1">
        <f t="array" ref="E128">_xlfn.IFS(D128&lt;40000,"Low Income",D128&lt;=80000,"Moderate Income",D128&gt;80000,"High Income")</f>
        <v>Low Income</v>
      </c>
      <c r="F128">
        <v>0</v>
      </c>
      <c r="G128" t="s">
        <v>21</v>
      </c>
      <c r="H128" t="s">
        <v>22</v>
      </c>
      <c r="I128" t="s">
        <v>17</v>
      </c>
      <c r="J128">
        <v>1</v>
      </c>
      <c r="K128" t="s">
        <v>24</v>
      </c>
      <c r="L128" t="s">
        <v>19</v>
      </c>
      <c r="M128">
        <v>32</v>
      </c>
      <c r="N128" t="str">
        <f t="shared" si="1"/>
        <v>Middle-Aged</v>
      </c>
      <c r="O128" t="s">
        <v>20</v>
      </c>
    </row>
    <row r="129" spans="1:15">
      <c r="A129">
        <v>12472</v>
      </c>
      <c r="B129" t="s">
        <v>63</v>
      </c>
      <c r="C129" t="s">
        <v>49</v>
      </c>
      <c r="D129" s="1">
        <v>30000</v>
      </c>
      <c r="E129" t="str" cm="1">
        <f t="array" ref="E129">_xlfn.IFS(D129&lt;40000,"Low Income",D129&lt;=80000,"Moderate Income",D129&gt;80000,"High Income")</f>
        <v>Low Income</v>
      </c>
      <c r="F129">
        <v>1</v>
      </c>
      <c r="G129" t="s">
        <v>15</v>
      </c>
      <c r="H129" t="s">
        <v>22</v>
      </c>
      <c r="I129" t="s">
        <v>17</v>
      </c>
      <c r="J129">
        <v>1</v>
      </c>
      <c r="K129" t="s">
        <v>24</v>
      </c>
      <c r="L129" t="s">
        <v>19</v>
      </c>
      <c r="M129">
        <v>39</v>
      </c>
      <c r="N129" t="str">
        <f t="shared" si="1"/>
        <v>Middle-Aged</v>
      </c>
      <c r="O129" t="s">
        <v>20</v>
      </c>
    </row>
    <row r="130" spans="1:15">
      <c r="A130">
        <v>20970</v>
      </c>
      <c r="B130" t="s">
        <v>64</v>
      </c>
      <c r="C130" t="s">
        <v>49</v>
      </c>
      <c r="D130" s="1">
        <v>10000</v>
      </c>
      <c r="E130" t="str" cm="1">
        <f t="array" ref="E130">_xlfn.IFS(D130&lt;40000,"Low Income",D130&lt;=80000,"Moderate Income",D130&gt;80000,"High Income")</f>
        <v>Low Income</v>
      </c>
      <c r="F130">
        <v>2</v>
      </c>
      <c r="G130" t="s">
        <v>21</v>
      </c>
      <c r="H130" t="s">
        <v>28</v>
      </c>
      <c r="I130" t="s">
        <v>17</v>
      </c>
      <c r="J130">
        <v>1</v>
      </c>
      <c r="K130" t="s">
        <v>18</v>
      </c>
      <c r="L130" t="s">
        <v>19</v>
      </c>
      <c r="M130">
        <v>52</v>
      </c>
      <c r="N130" t="str">
        <f t="shared" si="1"/>
        <v>Middle-Aged</v>
      </c>
      <c r="O130" t="s">
        <v>17</v>
      </c>
    </row>
    <row r="131" spans="1:15">
      <c r="A131">
        <v>26818</v>
      </c>
      <c r="B131" t="s">
        <v>64</v>
      </c>
      <c r="C131" t="s">
        <v>49</v>
      </c>
      <c r="D131" s="1">
        <v>10000</v>
      </c>
      <c r="E131" t="str" cm="1">
        <f t="array" ref="E131">_xlfn.IFS(D131&lt;40000,"Low Income",D131&lt;=80000,"Moderate Income",D131&gt;80000,"High Income")</f>
        <v>Low Income</v>
      </c>
      <c r="F131">
        <v>3</v>
      </c>
      <c r="G131" t="s">
        <v>30</v>
      </c>
      <c r="H131" t="s">
        <v>28</v>
      </c>
      <c r="I131" t="s">
        <v>17</v>
      </c>
      <c r="J131">
        <v>1</v>
      </c>
      <c r="K131" t="s">
        <v>18</v>
      </c>
      <c r="L131" t="s">
        <v>19</v>
      </c>
      <c r="M131">
        <v>39</v>
      </c>
      <c r="N131" t="str">
        <f t="shared" ref="N131:N194" si="2">IF(M131&gt;=60,"Seniors",IF(M131&gt;30,"Middle-Aged",IF(M131&lt;=30,"Young Adults")))</f>
        <v>Middle-Aged</v>
      </c>
      <c r="O131" t="s">
        <v>17</v>
      </c>
    </row>
    <row r="132" spans="1:15">
      <c r="A132">
        <v>12993</v>
      </c>
      <c r="B132" t="s">
        <v>63</v>
      </c>
      <c r="C132" t="s">
        <v>49</v>
      </c>
      <c r="D132" s="1">
        <v>60000</v>
      </c>
      <c r="E132" t="str" cm="1">
        <f t="array" ref="E132">_xlfn.IFS(D132&lt;40000,"Low Income",D132&lt;=80000,"Moderate Income",D132&gt;80000,"High Income")</f>
        <v>Moderate Income</v>
      </c>
      <c r="F132">
        <v>2</v>
      </c>
      <c r="G132" t="s">
        <v>15</v>
      </c>
      <c r="H132" t="s">
        <v>23</v>
      </c>
      <c r="I132" t="s">
        <v>17</v>
      </c>
      <c r="J132">
        <v>1</v>
      </c>
      <c r="K132" t="s">
        <v>24</v>
      </c>
      <c r="L132" t="s">
        <v>27</v>
      </c>
      <c r="M132">
        <v>37</v>
      </c>
      <c r="N132" t="str">
        <f t="shared" si="2"/>
        <v>Middle-Aged</v>
      </c>
      <c r="O132" t="s">
        <v>20</v>
      </c>
    </row>
    <row r="133" spans="1:15">
      <c r="A133">
        <v>14192</v>
      </c>
      <c r="B133" t="s">
        <v>63</v>
      </c>
      <c r="C133" t="s">
        <v>49</v>
      </c>
      <c r="D133" s="1">
        <v>90000</v>
      </c>
      <c r="E133" t="str" cm="1">
        <f t="array" ref="E133">_xlfn.IFS(D133&lt;40000,"Low Income",D133&lt;=80000,"Moderate Income",D133&gt;80000,"High Income")</f>
        <v>High Income</v>
      </c>
      <c r="F133">
        <v>4</v>
      </c>
      <c r="G133" t="s">
        <v>30</v>
      </c>
      <c r="H133" t="s">
        <v>31</v>
      </c>
      <c r="I133" t="s">
        <v>17</v>
      </c>
      <c r="J133">
        <v>3</v>
      </c>
      <c r="K133" t="s">
        <v>26</v>
      </c>
      <c r="L133" t="s">
        <v>19</v>
      </c>
      <c r="M133">
        <v>56</v>
      </c>
      <c r="N133" t="str">
        <f t="shared" si="2"/>
        <v>Middle-Aged</v>
      </c>
      <c r="O133" t="s">
        <v>17</v>
      </c>
    </row>
    <row r="134" spans="1:15">
      <c r="A134">
        <v>19477</v>
      </c>
      <c r="B134" t="s">
        <v>63</v>
      </c>
      <c r="C134" t="s">
        <v>49</v>
      </c>
      <c r="D134" s="1">
        <v>40000</v>
      </c>
      <c r="E134" t="str" cm="1">
        <f t="array" ref="E134">_xlfn.IFS(D134&lt;40000,"Low Income",D134&lt;=80000,"Moderate Income",D134&gt;80000,"High Income")</f>
        <v>Moderate Income</v>
      </c>
      <c r="F134">
        <v>0</v>
      </c>
      <c r="G134" t="s">
        <v>15</v>
      </c>
      <c r="H134" t="s">
        <v>23</v>
      </c>
      <c r="I134" t="s">
        <v>17</v>
      </c>
      <c r="J134">
        <v>0</v>
      </c>
      <c r="K134" t="s">
        <v>18</v>
      </c>
      <c r="L134" t="s">
        <v>19</v>
      </c>
      <c r="M134">
        <v>40</v>
      </c>
      <c r="N134" t="str">
        <f t="shared" si="2"/>
        <v>Middle-Aged</v>
      </c>
      <c r="O134" t="s">
        <v>17</v>
      </c>
    </row>
    <row r="135" spans="1:15">
      <c r="A135">
        <v>26796</v>
      </c>
      <c r="B135" t="s">
        <v>64</v>
      </c>
      <c r="C135" t="s">
        <v>49</v>
      </c>
      <c r="D135" s="1">
        <v>40000</v>
      </c>
      <c r="E135" t="str" cm="1">
        <f t="array" ref="E135">_xlfn.IFS(D135&lt;40000,"Low Income",D135&lt;=80000,"Moderate Income",D135&gt;80000,"High Income")</f>
        <v>Moderate Income</v>
      </c>
      <c r="F135">
        <v>2</v>
      </c>
      <c r="G135" t="s">
        <v>15</v>
      </c>
      <c r="H135" t="s">
        <v>31</v>
      </c>
      <c r="I135" t="s">
        <v>17</v>
      </c>
      <c r="J135">
        <v>2</v>
      </c>
      <c r="K135" t="s">
        <v>26</v>
      </c>
      <c r="L135" t="s">
        <v>27</v>
      </c>
      <c r="M135">
        <v>65</v>
      </c>
      <c r="N135" t="str">
        <f t="shared" si="2"/>
        <v>Seniors</v>
      </c>
      <c r="O135" t="s">
        <v>17</v>
      </c>
    </row>
    <row r="136" spans="1:15">
      <c r="A136">
        <v>21094</v>
      </c>
      <c r="B136" t="s">
        <v>64</v>
      </c>
      <c r="C136" t="s">
        <v>47</v>
      </c>
      <c r="D136" s="1">
        <v>30000</v>
      </c>
      <c r="E136" t="str" cm="1">
        <f t="array" ref="E136">_xlfn.IFS(D136&lt;40000,"Low Income",D136&lt;=80000,"Moderate Income",D136&gt;80000,"High Income")</f>
        <v>Low Income</v>
      </c>
      <c r="F136">
        <v>2</v>
      </c>
      <c r="G136" t="s">
        <v>21</v>
      </c>
      <c r="H136" t="s">
        <v>22</v>
      </c>
      <c r="I136" t="s">
        <v>17</v>
      </c>
      <c r="J136">
        <v>2</v>
      </c>
      <c r="K136" t="s">
        <v>18</v>
      </c>
      <c r="L136" t="s">
        <v>19</v>
      </c>
      <c r="M136">
        <v>42</v>
      </c>
      <c r="N136" t="str">
        <f t="shared" si="2"/>
        <v>Middle-Aged</v>
      </c>
      <c r="O136" t="s">
        <v>20</v>
      </c>
    </row>
    <row r="137" spans="1:15">
      <c r="A137">
        <v>12234</v>
      </c>
      <c r="B137" t="s">
        <v>63</v>
      </c>
      <c r="C137" t="s">
        <v>49</v>
      </c>
      <c r="D137" s="1">
        <v>10000</v>
      </c>
      <c r="E137" t="str" cm="1">
        <f t="array" ref="E137">_xlfn.IFS(D137&lt;40000,"Low Income",D137&lt;=80000,"Moderate Income",D137&gt;80000,"High Income")</f>
        <v>Low Income</v>
      </c>
      <c r="F137">
        <v>2</v>
      </c>
      <c r="G137" t="s">
        <v>21</v>
      </c>
      <c r="H137" t="s">
        <v>28</v>
      </c>
      <c r="I137" t="s">
        <v>17</v>
      </c>
      <c r="J137">
        <v>1</v>
      </c>
      <c r="K137" t="s">
        <v>24</v>
      </c>
      <c r="L137" t="s">
        <v>19</v>
      </c>
      <c r="M137">
        <v>52</v>
      </c>
      <c r="N137" t="str">
        <f t="shared" si="2"/>
        <v>Middle-Aged</v>
      </c>
      <c r="O137" t="s">
        <v>20</v>
      </c>
    </row>
    <row r="138" spans="1:15">
      <c r="A138">
        <v>28683</v>
      </c>
      <c r="B138" t="s">
        <v>64</v>
      </c>
      <c r="C138" t="s">
        <v>47</v>
      </c>
      <c r="D138" s="1">
        <v>10000</v>
      </c>
      <c r="E138" t="str" cm="1">
        <f t="array" ref="E138">_xlfn.IFS(D138&lt;40000,"Low Income",D138&lt;=80000,"Moderate Income",D138&gt;80000,"High Income")</f>
        <v>Low Income</v>
      </c>
      <c r="F138">
        <v>1</v>
      </c>
      <c r="G138" t="s">
        <v>30</v>
      </c>
      <c r="H138" t="s">
        <v>28</v>
      </c>
      <c r="I138" t="s">
        <v>20</v>
      </c>
      <c r="J138">
        <v>1</v>
      </c>
      <c r="K138" t="s">
        <v>26</v>
      </c>
      <c r="L138" t="s">
        <v>19</v>
      </c>
      <c r="M138">
        <v>35</v>
      </c>
      <c r="N138" t="str">
        <f t="shared" si="2"/>
        <v>Middle-Aged</v>
      </c>
      <c r="O138" t="s">
        <v>17</v>
      </c>
    </row>
    <row r="139" spans="1:15">
      <c r="A139">
        <v>17994</v>
      </c>
      <c r="B139" t="s">
        <v>64</v>
      </c>
      <c r="C139" t="s">
        <v>49</v>
      </c>
      <c r="D139" s="1">
        <v>20000</v>
      </c>
      <c r="E139" t="str" cm="1">
        <f t="array" ref="E139">_xlfn.IFS(D139&lt;40000,"Low Income",D139&lt;=80000,"Moderate Income",D139&gt;80000,"High Income")</f>
        <v>Low Income</v>
      </c>
      <c r="F139">
        <v>2</v>
      </c>
      <c r="G139" t="s">
        <v>30</v>
      </c>
      <c r="H139" t="s">
        <v>28</v>
      </c>
      <c r="I139" t="s">
        <v>17</v>
      </c>
      <c r="J139">
        <v>2</v>
      </c>
      <c r="K139" t="s">
        <v>18</v>
      </c>
      <c r="L139" t="s">
        <v>19</v>
      </c>
      <c r="M139">
        <v>42</v>
      </c>
      <c r="N139" t="str">
        <f t="shared" si="2"/>
        <v>Middle-Aged</v>
      </c>
      <c r="O139" t="s">
        <v>20</v>
      </c>
    </row>
    <row r="140" spans="1:15">
      <c r="A140">
        <v>24273</v>
      </c>
      <c r="B140" t="s">
        <v>63</v>
      </c>
      <c r="C140" t="s">
        <v>47</v>
      </c>
      <c r="D140" s="1">
        <v>20000</v>
      </c>
      <c r="E140" t="str" cm="1">
        <f t="array" ref="E140">_xlfn.IFS(D140&lt;40000,"Low Income",D140&lt;=80000,"Moderate Income",D140&gt;80000,"High Income")</f>
        <v>Low Income</v>
      </c>
      <c r="F140">
        <v>2</v>
      </c>
      <c r="G140" t="s">
        <v>32</v>
      </c>
      <c r="H140" t="s">
        <v>22</v>
      </c>
      <c r="I140" t="s">
        <v>17</v>
      </c>
      <c r="J140">
        <v>2</v>
      </c>
      <c r="K140" t="s">
        <v>26</v>
      </c>
      <c r="L140" t="s">
        <v>27</v>
      </c>
      <c r="M140">
        <v>55</v>
      </c>
      <c r="N140" t="str">
        <f t="shared" si="2"/>
        <v>Middle-Aged</v>
      </c>
      <c r="O140" t="s">
        <v>17</v>
      </c>
    </row>
    <row r="141" spans="1:15">
      <c r="A141">
        <v>26547</v>
      </c>
      <c r="B141" t="s">
        <v>64</v>
      </c>
      <c r="C141" t="s">
        <v>47</v>
      </c>
      <c r="D141" s="1">
        <v>30000</v>
      </c>
      <c r="E141" t="str" cm="1">
        <f t="array" ref="E141">_xlfn.IFS(D141&lt;40000,"Low Income",D141&lt;=80000,"Moderate Income",D141&gt;80000,"High Income")</f>
        <v>Low Income</v>
      </c>
      <c r="F141">
        <v>2</v>
      </c>
      <c r="G141" t="s">
        <v>21</v>
      </c>
      <c r="H141" t="s">
        <v>22</v>
      </c>
      <c r="I141" t="s">
        <v>20</v>
      </c>
      <c r="J141">
        <v>2</v>
      </c>
      <c r="K141" t="s">
        <v>26</v>
      </c>
      <c r="L141" t="s">
        <v>27</v>
      </c>
      <c r="M141">
        <v>60</v>
      </c>
      <c r="N141" t="str">
        <f t="shared" si="2"/>
        <v>Seniors</v>
      </c>
      <c r="O141" t="s">
        <v>17</v>
      </c>
    </row>
    <row r="142" spans="1:15">
      <c r="A142">
        <v>22500</v>
      </c>
      <c r="B142" t="s">
        <v>64</v>
      </c>
      <c r="C142" t="s">
        <v>49</v>
      </c>
      <c r="D142" s="1">
        <v>40000</v>
      </c>
      <c r="E142" t="str" cm="1">
        <f t="array" ref="E142">_xlfn.IFS(D142&lt;40000,"Low Income",D142&lt;=80000,"Moderate Income",D142&gt;80000,"High Income")</f>
        <v>Moderate Income</v>
      </c>
      <c r="F142">
        <v>0</v>
      </c>
      <c r="G142" t="s">
        <v>15</v>
      </c>
      <c r="H142" t="s">
        <v>23</v>
      </c>
      <c r="I142" t="s">
        <v>20</v>
      </c>
      <c r="J142">
        <v>0</v>
      </c>
      <c r="K142" t="s">
        <v>18</v>
      </c>
      <c r="L142" t="s">
        <v>19</v>
      </c>
      <c r="M142">
        <v>40</v>
      </c>
      <c r="N142" t="str">
        <f t="shared" si="2"/>
        <v>Middle-Aged</v>
      </c>
      <c r="O142" t="s">
        <v>17</v>
      </c>
    </row>
    <row r="143" spans="1:15">
      <c r="A143">
        <v>23993</v>
      </c>
      <c r="B143" t="s">
        <v>64</v>
      </c>
      <c r="C143" t="s">
        <v>47</v>
      </c>
      <c r="D143" s="1">
        <v>10000</v>
      </c>
      <c r="E143" t="str" cm="1">
        <f t="array" ref="E143">_xlfn.IFS(D143&lt;40000,"Low Income",D143&lt;=80000,"Moderate Income",D143&gt;80000,"High Income")</f>
        <v>Low Income</v>
      </c>
      <c r="F143">
        <v>0</v>
      </c>
      <c r="G143" t="s">
        <v>21</v>
      </c>
      <c r="H143" t="s">
        <v>28</v>
      </c>
      <c r="I143" t="s">
        <v>20</v>
      </c>
      <c r="J143">
        <v>1</v>
      </c>
      <c r="K143" t="s">
        <v>18</v>
      </c>
      <c r="L143" t="s">
        <v>27</v>
      </c>
      <c r="M143">
        <v>26</v>
      </c>
      <c r="N143" t="str">
        <f t="shared" si="2"/>
        <v>Young Adults</v>
      </c>
      <c r="O143" t="s">
        <v>17</v>
      </c>
    </row>
    <row r="144" spans="1:15">
      <c r="A144">
        <v>14832</v>
      </c>
      <c r="B144" t="s">
        <v>63</v>
      </c>
      <c r="C144" t="s">
        <v>49</v>
      </c>
      <c r="D144" s="1">
        <v>40000</v>
      </c>
      <c r="E144" t="str" cm="1">
        <f t="array" ref="E144">_xlfn.IFS(D144&lt;40000,"Low Income",D144&lt;=80000,"Moderate Income",D144&gt;80000,"High Income")</f>
        <v>Moderate Income</v>
      </c>
      <c r="F144">
        <v>1</v>
      </c>
      <c r="G144" t="s">
        <v>15</v>
      </c>
      <c r="H144" t="s">
        <v>16</v>
      </c>
      <c r="I144" t="s">
        <v>17</v>
      </c>
      <c r="J144">
        <v>0</v>
      </c>
      <c r="K144" t="s">
        <v>18</v>
      </c>
      <c r="L144" t="s">
        <v>19</v>
      </c>
      <c r="M144">
        <v>42</v>
      </c>
      <c r="N144" t="str">
        <f t="shared" si="2"/>
        <v>Middle-Aged</v>
      </c>
      <c r="O144" t="s">
        <v>17</v>
      </c>
    </row>
    <row r="145" spans="1:15">
      <c r="A145">
        <v>16614</v>
      </c>
      <c r="B145" t="s">
        <v>63</v>
      </c>
      <c r="C145" t="s">
        <v>47</v>
      </c>
      <c r="D145" s="1">
        <v>80000</v>
      </c>
      <c r="E145" t="str" cm="1">
        <f t="array" ref="E145">_xlfn.IFS(D145&lt;40000,"Low Income",D145&lt;=80000,"Moderate Income",D145&gt;80000,"High Income")</f>
        <v>Moderate Income</v>
      </c>
      <c r="F145">
        <v>0</v>
      </c>
      <c r="G145" t="s">
        <v>15</v>
      </c>
      <c r="H145" t="s">
        <v>23</v>
      </c>
      <c r="I145" t="s">
        <v>17</v>
      </c>
      <c r="J145">
        <v>3</v>
      </c>
      <c r="K145" t="s">
        <v>61</v>
      </c>
      <c r="L145" t="s">
        <v>27</v>
      </c>
      <c r="M145">
        <v>32</v>
      </c>
      <c r="N145" t="str">
        <f t="shared" si="2"/>
        <v>Middle-Aged</v>
      </c>
      <c r="O145" t="s">
        <v>20</v>
      </c>
    </row>
    <row r="146" spans="1:15">
      <c r="A146">
        <v>20877</v>
      </c>
      <c r="B146" t="s">
        <v>64</v>
      </c>
      <c r="C146" t="s">
        <v>49</v>
      </c>
      <c r="D146" s="1">
        <v>30000</v>
      </c>
      <c r="E146" t="str" cm="1">
        <f t="array" ref="E146">_xlfn.IFS(D146&lt;40000,"Low Income",D146&lt;=80000,"Moderate Income",D146&gt;80000,"High Income")</f>
        <v>Low Income</v>
      </c>
      <c r="F146">
        <v>1</v>
      </c>
      <c r="G146" t="s">
        <v>15</v>
      </c>
      <c r="H146" t="s">
        <v>22</v>
      </c>
      <c r="I146" t="s">
        <v>17</v>
      </c>
      <c r="J146">
        <v>0</v>
      </c>
      <c r="K146" t="s">
        <v>29</v>
      </c>
      <c r="L146" t="s">
        <v>19</v>
      </c>
      <c r="M146">
        <v>37</v>
      </c>
      <c r="N146" t="str">
        <f t="shared" si="2"/>
        <v>Middle-Aged</v>
      </c>
      <c r="O146" t="s">
        <v>17</v>
      </c>
    </row>
    <row r="147" spans="1:15">
      <c r="A147">
        <v>20729</v>
      </c>
      <c r="B147" t="s">
        <v>63</v>
      </c>
      <c r="C147" t="s">
        <v>47</v>
      </c>
      <c r="D147" s="1">
        <v>40000</v>
      </c>
      <c r="E147" t="str" cm="1">
        <f t="array" ref="E147">_xlfn.IFS(D147&lt;40000,"Low Income",D147&lt;=80000,"Moderate Income",D147&gt;80000,"High Income")</f>
        <v>Moderate Income</v>
      </c>
      <c r="F147">
        <v>2</v>
      </c>
      <c r="G147" t="s">
        <v>21</v>
      </c>
      <c r="H147" t="s">
        <v>22</v>
      </c>
      <c r="I147" t="s">
        <v>20</v>
      </c>
      <c r="J147">
        <v>1</v>
      </c>
      <c r="K147" t="s">
        <v>18</v>
      </c>
      <c r="L147" t="s">
        <v>19</v>
      </c>
      <c r="M147">
        <v>34</v>
      </c>
      <c r="N147" t="str">
        <f t="shared" si="2"/>
        <v>Middle-Aged</v>
      </c>
      <c r="O147" t="s">
        <v>20</v>
      </c>
    </row>
    <row r="148" spans="1:15">
      <c r="A148">
        <v>22464</v>
      </c>
      <c r="B148" t="s">
        <v>63</v>
      </c>
      <c r="C148" t="s">
        <v>49</v>
      </c>
      <c r="D148" s="1">
        <v>40000</v>
      </c>
      <c r="E148" t="str" cm="1">
        <f t="array" ref="E148">_xlfn.IFS(D148&lt;40000,"Low Income",D148&lt;=80000,"Moderate Income",D148&gt;80000,"High Income")</f>
        <v>Moderate Income</v>
      </c>
      <c r="F148">
        <v>0</v>
      </c>
      <c r="G148" t="s">
        <v>34</v>
      </c>
      <c r="H148" t="s">
        <v>22</v>
      </c>
      <c r="I148" t="s">
        <v>17</v>
      </c>
      <c r="J148">
        <v>0</v>
      </c>
      <c r="K148" t="s">
        <v>18</v>
      </c>
      <c r="L148" t="s">
        <v>19</v>
      </c>
      <c r="M148">
        <v>37</v>
      </c>
      <c r="N148" t="str">
        <f t="shared" si="2"/>
        <v>Middle-Aged</v>
      </c>
      <c r="O148" t="s">
        <v>17</v>
      </c>
    </row>
    <row r="149" spans="1:15">
      <c r="A149">
        <v>19475</v>
      </c>
      <c r="B149" t="s">
        <v>63</v>
      </c>
      <c r="C149" t="s">
        <v>47</v>
      </c>
      <c r="D149" s="1">
        <v>40000</v>
      </c>
      <c r="E149" t="str" cm="1">
        <f t="array" ref="E149">_xlfn.IFS(D149&lt;40000,"Low Income",D149&lt;=80000,"Moderate Income",D149&gt;80000,"High Income")</f>
        <v>Moderate Income</v>
      </c>
      <c r="F149">
        <v>0</v>
      </c>
      <c r="G149" t="s">
        <v>15</v>
      </c>
      <c r="H149" t="s">
        <v>23</v>
      </c>
      <c r="I149" t="s">
        <v>20</v>
      </c>
      <c r="J149">
        <v>0</v>
      </c>
      <c r="K149" t="s">
        <v>18</v>
      </c>
      <c r="L149" t="s">
        <v>19</v>
      </c>
      <c r="M149">
        <v>40</v>
      </c>
      <c r="N149" t="str">
        <f t="shared" si="2"/>
        <v>Middle-Aged</v>
      </c>
      <c r="O149" t="s">
        <v>17</v>
      </c>
    </row>
    <row r="150" spans="1:15">
      <c r="A150">
        <v>19675</v>
      </c>
      <c r="B150" t="s">
        <v>63</v>
      </c>
      <c r="C150" t="s">
        <v>49</v>
      </c>
      <c r="D150" s="1">
        <v>20000</v>
      </c>
      <c r="E150" t="str" cm="1">
        <f t="array" ref="E150">_xlfn.IFS(D150&lt;40000,"Low Income",D150&lt;=80000,"Moderate Income",D150&gt;80000,"High Income")</f>
        <v>Low Income</v>
      </c>
      <c r="F150">
        <v>4</v>
      </c>
      <c r="G150" t="s">
        <v>30</v>
      </c>
      <c r="H150" t="s">
        <v>16</v>
      </c>
      <c r="I150" t="s">
        <v>17</v>
      </c>
      <c r="J150">
        <v>2</v>
      </c>
      <c r="K150" t="s">
        <v>26</v>
      </c>
      <c r="L150" t="s">
        <v>27</v>
      </c>
      <c r="M150">
        <v>60</v>
      </c>
      <c r="N150" t="str">
        <f t="shared" si="2"/>
        <v>Seniors</v>
      </c>
      <c r="O150" t="s">
        <v>20</v>
      </c>
    </row>
    <row r="151" spans="1:15">
      <c r="A151">
        <v>12728</v>
      </c>
      <c r="B151" t="s">
        <v>64</v>
      </c>
      <c r="C151" t="s">
        <v>49</v>
      </c>
      <c r="D151" s="1">
        <v>30000</v>
      </c>
      <c r="E151" t="str" cm="1">
        <f t="array" ref="E151">_xlfn.IFS(D151&lt;40000,"Low Income",D151&lt;=80000,"Moderate Income",D151&gt;80000,"High Income")</f>
        <v>Low Income</v>
      </c>
      <c r="F151">
        <v>0</v>
      </c>
      <c r="G151" t="s">
        <v>21</v>
      </c>
      <c r="H151" t="s">
        <v>22</v>
      </c>
      <c r="I151" t="s">
        <v>20</v>
      </c>
      <c r="J151">
        <v>1</v>
      </c>
      <c r="K151" t="s">
        <v>29</v>
      </c>
      <c r="L151" t="s">
        <v>19</v>
      </c>
      <c r="M151">
        <v>27</v>
      </c>
      <c r="N151" t="str">
        <f t="shared" si="2"/>
        <v>Young Adults</v>
      </c>
      <c r="O151" t="s">
        <v>20</v>
      </c>
    </row>
    <row r="152" spans="1:15">
      <c r="A152">
        <v>26154</v>
      </c>
      <c r="B152" t="s">
        <v>63</v>
      </c>
      <c r="C152" t="s">
        <v>49</v>
      </c>
      <c r="D152" s="1">
        <v>60000</v>
      </c>
      <c r="E152" t="str" cm="1">
        <f t="array" ref="E152">_xlfn.IFS(D152&lt;40000,"Low Income",D152&lt;=80000,"Moderate Income",D152&gt;80000,"High Income")</f>
        <v>Moderate Income</v>
      </c>
      <c r="F152">
        <v>1</v>
      </c>
      <c r="G152" t="s">
        <v>21</v>
      </c>
      <c r="H152" t="s">
        <v>16</v>
      </c>
      <c r="I152" t="s">
        <v>17</v>
      </c>
      <c r="J152">
        <v>1</v>
      </c>
      <c r="K152" t="s">
        <v>26</v>
      </c>
      <c r="L152" t="s">
        <v>27</v>
      </c>
      <c r="M152">
        <v>43</v>
      </c>
      <c r="N152" t="str">
        <f t="shared" si="2"/>
        <v>Middle-Aged</v>
      </c>
      <c r="O152" t="s">
        <v>17</v>
      </c>
    </row>
    <row r="153" spans="1:15">
      <c r="A153">
        <v>29117</v>
      </c>
      <c r="B153" t="s">
        <v>64</v>
      </c>
      <c r="C153" t="s">
        <v>49</v>
      </c>
      <c r="D153" s="1">
        <v>100000</v>
      </c>
      <c r="E153" t="str" cm="1">
        <f t="array" ref="E153">_xlfn.IFS(D153&lt;40000,"Low Income",D153&lt;=80000,"Moderate Income",D153&gt;80000,"High Income")</f>
        <v>High Income</v>
      </c>
      <c r="F153">
        <v>1</v>
      </c>
      <c r="G153" t="s">
        <v>15</v>
      </c>
      <c r="H153" t="s">
        <v>31</v>
      </c>
      <c r="I153" t="s">
        <v>20</v>
      </c>
      <c r="J153">
        <v>3</v>
      </c>
      <c r="K153" t="s">
        <v>18</v>
      </c>
      <c r="L153" t="s">
        <v>27</v>
      </c>
      <c r="M153">
        <v>48</v>
      </c>
      <c r="N153" t="str">
        <f t="shared" si="2"/>
        <v>Middle-Aged</v>
      </c>
      <c r="O153" t="s">
        <v>20</v>
      </c>
    </row>
    <row r="154" spans="1:15">
      <c r="A154">
        <v>17845</v>
      </c>
      <c r="B154" t="s">
        <v>64</v>
      </c>
      <c r="C154" t="s">
        <v>47</v>
      </c>
      <c r="D154" s="1">
        <v>20000</v>
      </c>
      <c r="E154" t="str" cm="1">
        <f t="array" ref="E154">_xlfn.IFS(D154&lt;40000,"Low Income",D154&lt;=80000,"Moderate Income",D154&gt;80000,"High Income")</f>
        <v>Low Income</v>
      </c>
      <c r="F154">
        <v>0</v>
      </c>
      <c r="G154" t="s">
        <v>32</v>
      </c>
      <c r="H154" t="s">
        <v>28</v>
      </c>
      <c r="I154" t="s">
        <v>20</v>
      </c>
      <c r="J154">
        <v>2</v>
      </c>
      <c r="K154" t="s">
        <v>29</v>
      </c>
      <c r="L154" t="s">
        <v>19</v>
      </c>
      <c r="M154">
        <v>32</v>
      </c>
      <c r="N154" t="str">
        <f t="shared" si="2"/>
        <v>Middle-Aged</v>
      </c>
      <c r="O154" t="s">
        <v>20</v>
      </c>
    </row>
    <row r="155" spans="1:15">
      <c r="A155">
        <v>25058</v>
      </c>
      <c r="B155" t="s">
        <v>63</v>
      </c>
      <c r="C155" t="s">
        <v>49</v>
      </c>
      <c r="D155" s="1">
        <v>100000</v>
      </c>
      <c r="E155" t="str" cm="1">
        <f t="array" ref="E155">_xlfn.IFS(D155&lt;40000,"Low Income",D155&lt;=80000,"Moderate Income",D155&gt;80000,"High Income")</f>
        <v>High Income</v>
      </c>
      <c r="F155">
        <v>1</v>
      </c>
      <c r="G155" t="s">
        <v>15</v>
      </c>
      <c r="H155" t="s">
        <v>31</v>
      </c>
      <c r="I155" t="s">
        <v>17</v>
      </c>
      <c r="J155">
        <v>3</v>
      </c>
      <c r="K155" t="s">
        <v>24</v>
      </c>
      <c r="L155" t="s">
        <v>27</v>
      </c>
      <c r="M155">
        <v>47</v>
      </c>
      <c r="N155" t="str">
        <f t="shared" si="2"/>
        <v>Middle-Aged</v>
      </c>
      <c r="O155" t="s">
        <v>20</v>
      </c>
    </row>
    <row r="156" spans="1:15">
      <c r="A156">
        <v>23426</v>
      </c>
      <c r="B156" t="s">
        <v>64</v>
      </c>
      <c r="C156" t="s">
        <v>49</v>
      </c>
      <c r="D156" s="1">
        <v>80000</v>
      </c>
      <c r="E156" t="str" cm="1">
        <f t="array" ref="E156">_xlfn.IFS(D156&lt;40000,"Low Income",D156&lt;=80000,"Moderate Income",D156&gt;80000,"High Income")</f>
        <v>Moderate Income</v>
      </c>
      <c r="F156">
        <v>5</v>
      </c>
      <c r="G156" t="s">
        <v>34</v>
      </c>
      <c r="H156" t="s">
        <v>31</v>
      </c>
      <c r="I156" t="s">
        <v>17</v>
      </c>
      <c r="J156">
        <v>3</v>
      </c>
      <c r="K156" t="s">
        <v>18</v>
      </c>
      <c r="L156" t="s">
        <v>27</v>
      </c>
      <c r="M156">
        <v>40</v>
      </c>
      <c r="N156" t="str">
        <f t="shared" si="2"/>
        <v>Middle-Aged</v>
      </c>
      <c r="O156" t="s">
        <v>20</v>
      </c>
    </row>
    <row r="157" spans="1:15">
      <c r="A157">
        <v>14798</v>
      </c>
      <c r="B157" t="s">
        <v>64</v>
      </c>
      <c r="C157" t="s">
        <v>47</v>
      </c>
      <c r="D157" s="1">
        <v>10000</v>
      </c>
      <c r="E157" t="str" cm="1">
        <f t="array" ref="E157">_xlfn.IFS(D157&lt;40000,"Low Income",D157&lt;=80000,"Moderate Income",D157&gt;80000,"High Income")</f>
        <v>Low Income</v>
      </c>
      <c r="F157">
        <v>4</v>
      </c>
      <c r="G157" t="s">
        <v>32</v>
      </c>
      <c r="H157" t="s">
        <v>28</v>
      </c>
      <c r="I157" t="s">
        <v>17</v>
      </c>
      <c r="J157">
        <v>2</v>
      </c>
      <c r="K157" t="s">
        <v>18</v>
      </c>
      <c r="L157" t="s">
        <v>19</v>
      </c>
      <c r="M157">
        <v>41</v>
      </c>
      <c r="N157" t="str">
        <f t="shared" si="2"/>
        <v>Middle-Aged</v>
      </c>
      <c r="O157" t="s">
        <v>17</v>
      </c>
    </row>
    <row r="158" spans="1:15">
      <c r="A158">
        <v>12664</v>
      </c>
      <c r="B158" t="s">
        <v>63</v>
      </c>
      <c r="C158" t="s">
        <v>47</v>
      </c>
      <c r="D158" s="1">
        <v>130000</v>
      </c>
      <c r="E158" t="str" cm="1">
        <f t="array" ref="E158">_xlfn.IFS(D158&lt;40000,"Low Income",D158&lt;=80000,"Moderate Income",D158&gt;80000,"High Income")</f>
        <v>High Income</v>
      </c>
      <c r="F158">
        <v>5</v>
      </c>
      <c r="G158" t="s">
        <v>21</v>
      </c>
      <c r="H158" t="s">
        <v>23</v>
      </c>
      <c r="I158" t="s">
        <v>17</v>
      </c>
      <c r="J158">
        <v>4</v>
      </c>
      <c r="K158" t="s">
        <v>18</v>
      </c>
      <c r="L158" t="s">
        <v>19</v>
      </c>
      <c r="M158">
        <v>59</v>
      </c>
      <c r="N158" t="str">
        <f t="shared" si="2"/>
        <v>Middle-Aged</v>
      </c>
      <c r="O158" t="s">
        <v>20</v>
      </c>
    </row>
    <row r="159" spans="1:15">
      <c r="A159">
        <v>23979</v>
      </c>
      <c r="B159" t="s">
        <v>64</v>
      </c>
      <c r="C159" t="s">
        <v>49</v>
      </c>
      <c r="D159" s="1">
        <v>10000</v>
      </c>
      <c r="E159" t="str" cm="1">
        <f t="array" ref="E159">_xlfn.IFS(D159&lt;40000,"Low Income",D159&lt;=80000,"Moderate Income",D159&gt;80000,"High Income")</f>
        <v>Low Income</v>
      </c>
      <c r="F159">
        <v>2</v>
      </c>
      <c r="G159" t="s">
        <v>21</v>
      </c>
      <c r="H159" t="s">
        <v>28</v>
      </c>
      <c r="I159" t="s">
        <v>20</v>
      </c>
      <c r="J159">
        <v>0</v>
      </c>
      <c r="K159" t="s">
        <v>18</v>
      </c>
      <c r="L159" t="s">
        <v>19</v>
      </c>
      <c r="M159">
        <v>50</v>
      </c>
      <c r="N159" t="str">
        <f t="shared" si="2"/>
        <v>Middle-Aged</v>
      </c>
      <c r="O159" t="s">
        <v>20</v>
      </c>
    </row>
    <row r="160" spans="1:15">
      <c r="A160">
        <v>25605</v>
      </c>
      <c r="B160" t="s">
        <v>64</v>
      </c>
      <c r="C160" t="s">
        <v>47</v>
      </c>
      <c r="D160" s="1">
        <v>20000</v>
      </c>
      <c r="E160" t="str" cm="1">
        <f t="array" ref="E160">_xlfn.IFS(D160&lt;40000,"Low Income",D160&lt;=80000,"Moderate Income",D160&gt;80000,"High Income")</f>
        <v>Low Income</v>
      </c>
      <c r="F160">
        <v>2</v>
      </c>
      <c r="G160" t="s">
        <v>21</v>
      </c>
      <c r="H160" t="s">
        <v>28</v>
      </c>
      <c r="I160" t="s">
        <v>20</v>
      </c>
      <c r="J160">
        <v>1</v>
      </c>
      <c r="K160" t="s">
        <v>18</v>
      </c>
      <c r="L160" t="s">
        <v>19</v>
      </c>
      <c r="M160">
        <v>54</v>
      </c>
      <c r="N160" t="str">
        <f t="shared" si="2"/>
        <v>Middle-Aged</v>
      </c>
      <c r="O160" t="s">
        <v>17</v>
      </c>
    </row>
    <row r="161" spans="1:15">
      <c r="A161">
        <v>20797</v>
      </c>
      <c r="B161" t="s">
        <v>63</v>
      </c>
      <c r="C161" t="s">
        <v>47</v>
      </c>
      <c r="D161" s="1">
        <v>10000</v>
      </c>
      <c r="E161" t="str" cm="1">
        <f t="array" ref="E161">_xlfn.IFS(D161&lt;40000,"Low Income",D161&lt;=80000,"Moderate Income",D161&gt;80000,"High Income")</f>
        <v>Low Income</v>
      </c>
      <c r="F161">
        <v>1</v>
      </c>
      <c r="G161" t="s">
        <v>15</v>
      </c>
      <c r="H161" t="s">
        <v>28</v>
      </c>
      <c r="I161" t="s">
        <v>17</v>
      </c>
      <c r="J161">
        <v>0</v>
      </c>
      <c r="K161" t="s">
        <v>18</v>
      </c>
      <c r="L161" t="s">
        <v>19</v>
      </c>
      <c r="M161">
        <v>48</v>
      </c>
      <c r="N161" t="str">
        <f t="shared" si="2"/>
        <v>Middle-Aged</v>
      </c>
      <c r="O161" t="s">
        <v>20</v>
      </c>
    </row>
    <row r="162" spans="1:15">
      <c r="A162">
        <v>21980</v>
      </c>
      <c r="B162" t="s">
        <v>64</v>
      </c>
      <c r="C162" t="s">
        <v>47</v>
      </c>
      <c r="D162" s="1">
        <v>60000</v>
      </c>
      <c r="E162" t="str" cm="1">
        <f t="array" ref="E162">_xlfn.IFS(D162&lt;40000,"Low Income",D162&lt;=80000,"Moderate Income",D162&gt;80000,"High Income")</f>
        <v>Moderate Income</v>
      </c>
      <c r="F162">
        <v>1</v>
      </c>
      <c r="G162" t="s">
        <v>15</v>
      </c>
      <c r="H162" t="s">
        <v>23</v>
      </c>
      <c r="I162" t="s">
        <v>17</v>
      </c>
      <c r="J162">
        <v>1</v>
      </c>
      <c r="K162" t="s">
        <v>26</v>
      </c>
      <c r="L162" t="s">
        <v>27</v>
      </c>
      <c r="M162">
        <v>44</v>
      </c>
      <c r="N162" t="str">
        <f t="shared" si="2"/>
        <v>Middle-Aged</v>
      </c>
      <c r="O162" t="s">
        <v>17</v>
      </c>
    </row>
    <row r="163" spans="1:15">
      <c r="A163">
        <v>25460</v>
      </c>
      <c r="B163" t="s">
        <v>63</v>
      </c>
      <c r="C163" t="s">
        <v>47</v>
      </c>
      <c r="D163" s="1">
        <v>20000</v>
      </c>
      <c r="E163" t="str" cm="1">
        <f t="array" ref="E163">_xlfn.IFS(D163&lt;40000,"Low Income",D163&lt;=80000,"Moderate Income",D163&gt;80000,"High Income")</f>
        <v>Low Income</v>
      </c>
      <c r="F163">
        <v>2</v>
      </c>
      <c r="G163" t="s">
        <v>30</v>
      </c>
      <c r="H163" t="s">
        <v>28</v>
      </c>
      <c r="I163" t="s">
        <v>17</v>
      </c>
      <c r="J163">
        <v>0</v>
      </c>
      <c r="K163" t="s">
        <v>18</v>
      </c>
      <c r="L163" t="s">
        <v>19</v>
      </c>
      <c r="M163">
        <v>40</v>
      </c>
      <c r="N163" t="str">
        <f t="shared" si="2"/>
        <v>Middle-Aged</v>
      </c>
      <c r="O163" t="s">
        <v>17</v>
      </c>
    </row>
    <row r="164" spans="1:15">
      <c r="A164">
        <v>29181</v>
      </c>
      <c r="B164" t="s">
        <v>64</v>
      </c>
      <c r="C164" t="s">
        <v>47</v>
      </c>
      <c r="D164" s="1">
        <v>60000</v>
      </c>
      <c r="E164" t="str" cm="1">
        <f t="array" ref="E164">_xlfn.IFS(D164&lt;40000,"Low Income",D164&lt;=80000,"Moderate Income",D164&gt;80000,"High Income")</f>
        <v>Moderate Income</v>
      </c>
      <c r="F164">
        <v>2</v>
      </c>
      <c r="G164" t="s">
        <v>15</v>
      </c>
      <c r="H164" t="s">
        <v>23</v>
      </c>
      <c r="I164" t="s">
        <v>20</v>
      </c>
      <c r="J164">
        <v>1</v>
      </c>
      <c r="K164" t="s">
        <v>18</v>
      </c>
      <c r="L164" t="s">
        <v>27</v>
      </c>
      <c r="M164">
        <v>38</v>
      </c>
      <c r="N164" t="str">
        <f t="shared" si="2"/>
        <v>Middle-Aged</v>
      </c>
      <c r="O164" t="s">
        <v>17</v>
      </c>
    </row>
    <row r="165" spans="1:15">
      <c r="A165">
        <v>24279</v>
      </c>
      <c r="B165" t="s">
        <v>64</v>
      </c>
      <c r="C165" t="s">
        <v>49</v>
      </c>
      <c r="D165" s="1">
        <v>40000</v>
      </c>
      <c r="E165" t="str" cm="1">
        <f t="array" ref="E165">_xlfn.IFS(D165&lt;40000,"Low Income",D165&lt;=80000,"Moderate Income",D165&gt;80000,"High Income")</f>
        <v>Moderate Income</v>
      </c>
      <c r="F165">
        <v>2</v>
      </c>
      <c r="G165" t="s">
        <v>21</v>
      </c>
      <c r="H165" t="s">
        <v>16</v>
      </c>
      <c r="I165" t="s">
        <v>20</v>
      </c>
      <c r="J165">
        <v>2</v>
      </c>
      <c r="K165" t="s">
        <v>29</v>
      </c>
      <c r="L165" t="s">
        <v>27</v>
      </c>
      <c r="M165">
        <v>52</v>
      </c>
      <c r="N165" t="str">
        <f t="shared" si="2"/>
        <v>Middle-Aged</v>
      </c>
      <c r="O165" t="s">
        <v>20</v>
      </c>
    </row>
    <row r="166" spans="1:15">
      <c r="A166">
        <v>22402</v>
      </c>
      <c r="B166" t="s">
        <v>63</v>
      </c>
      <c r="C166" t="s">
        <v>49</v>
      </c>
      <c r="D166" s="1">
        <v>10000</v>
      </c>
      <c r="E166" t="str" cm="1">
        <f t="array" ref="E166">_xlfn.IFS(D166&lt;40000,"Low Income",D166&lt;=80000,"Moderate Income",D166&gt;80000,"High Income")</f>
        <v>Low Income</v>
      </c>
      <c r="F166">
        <v>0</v>
      </c>
      <c r="G166" t="s">
        <v>21</v>
      </c>
      <c r="H166" t="s">
        <v>28</v>
      </c>
      <c r="I166" t="s">
        <v>17</v>
      </c>
      <c r="J166">
        <v>1</v>
      </c>
      <c r="K166" t="s">
        <v>24</v>
      </c>
      <c r="L166" t="s">
        <v>27</v>
      </c>
      <c r="M166">
        <v>25</v>
      </c>
      <c r="N166" t="str">
        <f t="shared" si="2"/>
        <v>Young Adults</v>
      </c>
      <c r="O166" t="s">
        <v>17</v>
      </c>
    </row>
    <row r="167" spans="1:15">
      <c r="A167">
        <v>15465</v>
      </c>
      <c r="B167" t="s">
        <v>63</v>
      </c>
      <c r="C167" t="s">
        <v>47</v>
      </c>
      <c r="D167" s="1">
        <v>10000</v>
      </c>
      <c r="E167" t="str" cm="1">
        <f t="array" ref="E167">_xlfn.IFS(D167&lt;40000,"Low Income",D167&lt;=80000,"Moderate Income",D167&gt;80000,"High Income")</f>
        <v>Low Income</v>
      </c>
      <c r="F167">
        <v>0</v>
      </c>
      <c r="G167" t="s">
        <v>21</v>
      </c>
      <c r="H167" t="s">
        <v>28</v>
      </c>
      <c r="I167" t="s">
        <v>20</v>
      </c>
      <c r="J167">
        <v>1</v>
      </c>
      <c r="K167" t="s">
        <v>18</v>
      </c>
      <c r="L167" t="s">
        <v>27</v>
      </c>
      <c r="M167">
        <v>25</v>
      </c>
      <c r="N167" t="str">
        <f t="shared" si="2"/>
        <v>Young Adults</v>
      </c>
      <c r="O167" t="s">
        <v>20</v>
      </c>
    </row>
    <row r="168" spans="1:15">
      <c r="A168">
        <v>26757</v>
      </c>
      <c r="B168" t="s">
        <v>64</v>
      </c>
      <c r="C168" t="s">
        <v>49</v>
      </c>
      <c r="D168" s="1">
        <v>90000</v>
      </c>
      <c r="E168" t="str" cm="1">
        <f t="array" ref="E168">_xlfn.IFS(D168&lt;40000,"Low Income",D168&lt;=80000,"Moderate Income",D168&gt;80000,"High Income")</f>
        <v>High Income</v>
      </c>
      <c r="F168">
        <v>1</v>
      </c>
      <c r="G168" t="s">
        <v>15</v>
      </c>
      <c r="H168" t="s">
        <v>23</v>
      </c>
      <c r="I168" t="s">
        <v>17</v>
      </c>
      <c r="J168">
        <v>1</v>
      </c>
      <c r="K168" t="s">
        <v>24</v>
      </c>
      <c r="L168" t="s">
        <v>27</v>
      </c>
      <c r="M168">
        <v>47</v>
      </c>
      <c r="N168" t="str">
        <f t="shared" si="2"/>
        <v>Middle-Aged</v>
      </c>
      <c r="O168" t="s">
        <v>17</v>
      </c>
    </row>
    <row r="169" spans="1:15">
      <c r="A169">
        <v>14233</v>
      </c>
      <c r="B169" t="s">
        <v>64</v>
      </c>
      <c r="C169" t="s">
        <v>49</v>
      </c>
      <c r="D169" s="1">
        <v>100000</v>
      </c>
      <c r="E169" t="str" cm="1">
        <f t="array" ref="E169">_xlfn.IFS(D169&lt;40000,"Low Income",D169&lt;=80000,"Moderate Income",D169&gt;80000,"High Income")</f>
        <v>High Income</v>
      </c>
      <c r="F169">
        <v>0</v>
      </c>
      <c r="G169" t="s">
        <v>30</v>
      </c>
      <c r="H169" t="s">
        <v>31</v>
      </c>
      <c r="I169" t="s">
        <v>17</v>
      </c>
      <c r="J169">
        <v>3</v>
      </c>
      <c r="K169" t="s">
        <v>61</v>
      </c>
      <c r="L169" t="s">
        <v>27</v>
      </c>
      <c r="M169">
        <v>35</v>
      </c>
      <c r="N169" t="str">
        <f t="shared" si="2"/>
        <v>Middle-Aged</v>
      </c>
      <c r="O169" t="s">
        <v>20</v>
      </c>
    </row>
    <row r="170" spans="1:15">
      <c r="A170">
        <v>14058</v>
      </c>
      <c r="B170" t="s">
        <v>64</v>
      </c>
      <c r="C170" t="s">
        <v>49</v>
      </c>
      <c r="D170" s="1">
        <v>70000</v>
      </c>
      <c r="E170" t="str" cm="1">
        <f t="array" ref="E170">_xlfn.IFS(D170&lt;40000,"Low Income",D170&lt;=80000,"Moderate Income",D170&gt;80000,"High Income")</f>
        <v>Moderate Income</v>
      </c>
      <c r="F170">
        <v>0</v>
      </c>
      <c r="G170" t="s">
        <v>15</v>
      </c>
      <c r="H170" t="s">
        <v>23</v>
      </c>
      <c r="I170" t="s">
        <v>20</v>
      </c>
      <c r="J170">
        <v>1</v>
      </c>
      <c r="K170" t="s">
        <v>26</v>
      </c>
      <c r="L170" t="s">
        <v>27</v>
      </c>
      <c r="M170">
        <v>41</v>
      </c>
      <c r="N170" t="str">
        <f t="shared" si="2"/>
        <v>Middle-Aged</v>
      </c>
      <c r="O170" t="s">
        <v>17</v>
      </c>
    </row>
    <row r="171" spans="1:15">
      <c r="A171">
        <v>12273</v>
      </c>
      <c r="B171" t="s">
        <v>63</v>
      </c>
      <c r="C171" t="s">
        <v>49</v>
      </c>
      <c r="D171" s="1">
        <v>30000</v>
      </c>
      <c r="E171" t="str" cm="1">
        <f t="array" ref="E171">_xlfn.IFS(D171&lt;40000,"Low Income",D171&lt;=80000,"Moderate Income",D171&gt;80000,"High Income")</f>
        <v>Low Income</v>
      </c>
      <c r="F171">
        <v>1</v>
      </c>
      <c r="G171" t="s">
        <v>15</v>
      </c>
      <c r="H171" t="s">
        <v>22</v>
      </c>
      <c r="I171" t="s">
        <v>17</v>
      </c>
      <c r="J171">
        <v>0</v>
      </c>
      <c r="K171" t="s">
        <v>18</v>
      </c>
      <c r="L171" t="s">
        <v>19</v>
      </c>
      <c r="M171">
        <v>47</v>
      </c>
      <c r="N171" t="str">
        <f t="shared" si="2"/>
        <v>Middle-Aged</v>
      </c>
      <c r="O171" t="s">
        <v>20</v>
      </c>
    </row>
    <row r="172" spans="1:15">
      <c r="A172">
        <v>17203</v>
      </c>
      <c r="B172" t="s">
        <v>63</v>
      </c>
      <c r="C172" t="s">
        <v>47</v>
      </c>
      <c r="D172" s="1">
        <v>130000</v>
      </c>
      <c r="E172" t="str" cm="1">
        <f t="array" ref="E172">_xlfn.IFS(D172&lt;40000,"Low Income",D172&lt;=80000,"Moderate Income",D172&gt;80000,"High Income")</f>
        <v>High Income</v>
      </c>
      <c r="F172">
        <v>4</v>
      </c>
      <c r="G172" t="s">
        <v>21</v>
      </c>
      <c r="H172" t="s">
        <v>23</v>
      </c>
      <c r="I172" t="s">
        <v>17</v>
      </c>
      <c r="J172">
        <v>4</v>
      </c>
      <c r="K172" t="s">
        <v>26</v>
      </c>
      <c r="L172" t="s">
        <v>19</v>
      </c>
      <c r="M172">
        <v>61</v>
      </c>
      <c r="N172" t="str">
        <f t="shared" si="2"/>
        <v>Seniors</v>
      </c>
      <c r="O172" t="s">
        <v>17</v>
      </c>
    </row>
    <row r="173" spans="1:15">
      <c r="A173">
        <v>18144</v>
      </c>
      <c r="B173" t="s">
        <v>63</v>
      </c>
      <c r="C173" t="s">
        <v>47</v>
      </c>
      <c r="D173" s="1">
        <v>80000</v>
      </c>
      <c r="E173" t="str" cm="1">
        <f t="array" ref="E173">_xlfn.IFS(D173&lt;40000,"Low Income",D173&lt;=80000,"Moderate Income",D173&gt;80000,"High Income")</f>
        <v>Moderate Income</v>
      </c>
      <c r="F173">
        <v>5</v>
      </c>
      <c r="G173" t="s">
        <v>15</v>
      </c>
      <c r="H173" t="s">
        <v>31</v>
      </c>
      <c r="I173" t="s">
        <v>17</v>
      </c>
      <c r="J173">
        <v>2</v>
      </c>
      <c r="K173" t="s">
        <v>24</v>
      </c>
      <c r="L173" t="s">
        <v>19</v>
      </c>
      <c r="M173">
        <v>61</v>
      </c>
      <c r="N173" t="str">
        <f t="shared" si="2"/>
        <v>Seniors</v>
      </c>
      <c r="O173" t="s">
        <v>20</v>
      </c>
    </row>
    <row r="174" spans="1:15">
      <c r="A174">
        <v>23963</v>
      </c>
      <c r="B174" t="s">
        <v>63</v>
      </c>
      <c r="C174" t="s">
        <v>49</v>
      </c>
      <c r="D174" s="1">
        <v>10000</v>
      </c>
      <c r="E174" t="str" cm="1">
        <f t="array" ref="E174">_xlfn.IFS(D174&lt;40000,"Low Income",D174&lt;=80000,"Moderate Income",D174&gt;80000,"High Income")</f>
        <v>Low Income</v>
      </c>
      <c r="F174">
        <v>0</v>
      </c>
      <c r="G174" t="s">
        <v>32</v>
      </c>
      <c r="H174" t="s">
        <v>28</v>
      </c>
      <c r="I174" t="s">
        <v>20</v>
      </c>
      <c r="J174">
        <v>2</v>
      </c>
      <c r="K174" t="s">
        <v>18</v>
      </c>
      <c r="L174" t="s">
        <v>19</v>
      </c>
      <c r="M174">
        <v>33</v>
      </c>
      <c r="N174" t="str">
        <f t="shared" si="2"/>
        <v>Middle-Aged</v>
      </c>
      <c r="O174" t="s">
        <v>20</v>
      </c>
    </row>
    <row r="175" spans="1:15">
      <c r="A175">
        <v>17907</v>
      </c>
      <c r="B175" t="s">
        <v>63</v>
      </c>
      <c r="C175" t="s">
        <v>47</v>
      </c>
      <c r="D175" s="1">
        <v>10000</v>
      </c>
      <c r="E175" t="str" cm="1">
        <f t="array" ref="E175">_xlfn.IFS(D175&lt;40000,"Low Income",D175&lt;=80000,"Moderate Income",D175&gt;80000,"High Income")</f>
        <v>Low Income</v>
      </c>
      <c r="F175">
        <v>0</v>
      </c>
      <c r="G175" t="s">
        <v>21</v>
      </c>
      <c r="H175" t="s">
        <v>28</v>
      </c>
      <c r="I175" t="s">
        <v>17</v>
      </c>
      <c r="J175">
        <v>1</v>
      </c>
      <c r="K175" t="s">
        <v>24</v>
      </c>
      <c r="L175" t="s">
        <v>27</v>
      </c>
      <c r="M175">
        <v>27</v>
      </c>
      <c r="N175" t="str">
        <f t="shared" si="2"/>
        <v>Young Adults</v>
      </c>
      <c r="O175" t="s">
        <v>20</v>
      </c>
    </row>
    <row r="176" spans="1:15">
      <c r="A176">
        <v>19442</v>
      </c>
      <c r="B176" t="s">
        <v>64</v>
      </c>
      <c r="C176" t="s">
        <v>49</v>
      </c>
      <c r="D176" s="1">
        <v>50000</v>
      </c>
      <c r="E176" t="str" cm="1">
        <f t="array" ref="E176">_xlfn.IFS(D176&lt;40000,"Low Income",D176&lt;=80000,"Moderate Income",D176&gt;80000,"High Income")</f>
        <v>Moderate Income</v>
      </c>
      <c r="F176">
        <v>0</v>
      </c>
      <c r="G176" t="s">
        <v>34</v>
      </c>
      <c r="H176" t="s">
        <v>16</v>
      </c>
      <c r="I176" t="s">
        <v>17</v>
      </c>
      <c r="J176">
        <v>0</v>
      </c>
      <c r="K176" t="s">
        <v>18</v>
      </c>
      <c r="L176" t="s">
        <v>19</v>
      </c>
      <c r="M176">
        <v>37</v>
      </c>
      <c r="N176" t="str">
        <f t="shared" si="2"/>
        <v>Middle-Aged</v>
      </c>
      <c r="O176" t="s">
        <v>17</v>
      </c>
    </row>
    <row r="177" spans="1:15">
      <c r="A177">
        <v>17504</v>
      </c>
      <c r="B177" t="s">
        <v>64</v>
      </c>
      <c r="C177" t="s">
        <v>47</v>
      </c>
      <c r="D177" s="1">
        <v>80000</v>
      </c>
      <c r="E177" t="str" cm="1">
        <f t="array" ref="E177">_xlfn.IFS(D177&lt;40000,"Low Income",D177&lt;=80000,"Moderate Income",D177&gt;80000,"High Income")</f>
        <v>Moderate Income</v>
      </c>
      <c r="F177">
        <v>2</v>
      </c>
      <c r="G177" t="s">
        <v>21</v>
      </c>
      <c r="H177" t="s">
        <v>16</v>
      </c>
      <c r="I177" t="s">
        <v>17</v>
      </c>
      <c r="J177">
        <v>2</v>
      </c>
      <c r="K177" t="s">
        <v>26</v>
      </c>
      <c r="L177" t="s">
        <v>27</v>
      </c>
      <c r="M177">
        <v>52</v>
      </c>
      <c r="N177" t="str">
        <f t="shared" si="2"/>
        <v>Middle-Aged</v>
      </c>
      <c r="O177" t="s">
        <v>17</v>
      </c>
    </row>
    <row r="178" spans="1:15">
      <c r="A178">
        <v>12253</v>
      </c>
      <c r="B178" t="s">
        <v>64</v>
      </c>
      <c r="C178" t="s">
        <v>47</v>
      </c>
      <c r="D178" s="1">
        <v>20000</v>
      </c>
      <c r="E178" t="str" cm="1">
        <f t="array" ref="E178">_xlfn.IFS(D178&lt;40000,"Low Income",D178&lt;=80000,"Moderate Income",D178&gt;80000,"High Income")</f>
        <v>Low Income</v>
      </c>
      <c r="F178">
        <v>0</v>
      </c>
      <c r="G178" t="s">
        <v>21</v>
      </c>
      <c r="H178" t="s">
        <v>28</v>
      </c>
      <c r="I178" t="s">
        <v>17</v>
      </c>
      <c r="J178">
        <v>0</v>
      </c>
      <c r="K178" t="s">
        <v>18</v>
      </c>
      <c r="L178" t="s">
        <v>27</v>
      </c>
      <c r="M178">
        <v>29</v>
      </c>
      <c r="N178" t="str">
        <f t="shared" si="2"/>
        <v>Young Adults</v>
      </c>
      <c r="O178" t="s">
        <v>17</v>
      </c>
    </row>
    <row r="179" spans="1:15">
      <c r="A179">
        <v>27304</v>
      </c>
      <c r="B179" t="s">
        <v>64</v>
      </c>
      <c r="C179" t="s">
        <v>47</v>
      </c>
      <c r="D179" s="1">
        <v>110000</v>
      </c>
      <c r="E179" t="str" cm="1">
        <f t="array" ref="E179">_xlfn.IFS(D179&lt;40000,"Low Income",D179&lt;=80000,"Moderate Income",D179&gt;80000,"High Income")</f>
        <v>High Income</v>
      </c>
      <c r="F179">
        <v>2</v>
      </c>
      <c r="G179" t="s">
        <v>21</v>
      </c>
      <c r="H179" t="s">
        <v>23</v>
      </c>
      <c r="I179" t="s">
        <v>20</v>
      </c>
      <c r="J179">
        <v>3</v>
      </c>
      <c r="K179" t="s">
        <v>26</v>
      </c>
      <c r="L179" t="s">
        <v>19</v>
      </c>
      <c r="M179">
        <v>48</v>
      </c>
      <c r="N179" t="str">
        <f t="shared" si="2"/>
        <v>Middle-Aged</v>
      </c>
      <c r="O179" t="s">
        <v>20</v>
      </c>
    </row>
    <row r="180" spans="1:15">
      <c r="A180">
        <v>14191</v>
      </c>
      <c r="B180" t="s">
        <v>63</v>
      </c>
      <c r="C180" t="s">
        <v>49</v>
      </c>
      <c r="D180" s="1">
        <v>160000</v>
      </c>
      <c r="E180" t="str" cm="1">
        <f t="array" ref="E180">_xlfn.IFS(D180&lt;40000,"Low Income",D180&lt;=80000,"Moderate Income",D180&gt;80000,"High Income")</f>
        <v>High Income</v>
      </c>
      <c r="F180">
        <v>4</v>
      </c>
      <c r="G180" t="s">
        <v>21</v>
      </c>
      <c r="H180" t="s">
        <v>23</v>
      </c>
      <c r="I180" t="s">
        <v>20</v>
      </c>
      <c r="J180">
        <v>2</v>
      </c>
      <c r="K180" t="s">
        <v>61</v>
      </c>
      <c r="L180" t="s">
        <v>19</v>
      </c>
      <c r="M180">
        <v>55</v>
      </c>
      <c r="N180" t="str">
        <f t="shared" si="2"/>
        <v>Middle-Aged</v>
      </c>
      <c r="O180" t="s">
        <v>17</v>
      </c>
    </row>
    <row r="181" spans="1:15">
      <c r="A181">
        <v>12212</v>
      </c>
      <c r="B181" t="s">
        <v>63</v>
      </c>
      <c r="C181" t="s">
        <v>47</v>
      </c>
      <c r="D181" s="1">
        <v>10000</v>
      </c>
      <c r="E181" t="str" cm="1">
        <f t="array" ref="E181">_xlfn.IFS(D181&lt;40000,"Low Income",D181&lt;=80000,"Moderate Income",D181&gt;80000,"High Income")</f>
        <v>Low Income</v>
      </c>
      <c r="F181">
        <v>0</v>
      </c>
      <c r="G181" t="s">
        <v>34</v>
      </c>
      <c r="H181" t="s">
        <v>28</v>
      </c>
      <c r="I181" t="s">
        <v>17</v>
      </c>
      <c r="J181">
        <v>0</v>
      </c>
      <c r="K181" t="s">
        <v>18</v>
      </c>
      <c r="L181" t="s">
        <v>19</v>
      </c>
      <c r="M181">
        <v>37</v>
      </c>
      <c r="N181" t="str">
        <f t="shared" si="2"/>
        <v>Middle-Aged</v>
      </c>
      <c r="O181" t="s">
        <v>17</v>
      </c>
    </row>
    <row r="182" spans="1:15">
      <c r="A182">
        <v>25529</v>
      </c>
      <c r="B182" t="s">
        <v>64</v>
      </c>
      <c r="C182" t="s">
        <v>49</v>
      </c>
      <c r="D182" s="1">
        <v>10000</v>
      </c>
      <c r="E182" t="str" cm="1">
        <f t="array" ref="E182">_xlfn.IFS(D182&lt;40000,"Low Income",D182&lt;=80000,"Moderate Income",D182&gt;80000,"High Income")</f>
        <v>Low Income</v>
      </c>
      <c r="F182">
        <v>1</v>
      </c>
      <c r="G182" t="s">
        <v>34</v>
      </c>
      <c r="H182" t="s">
        <v>28</v>
      </c>
      <c r="I182" t="s">
        <v>17</v>
      </c>
      <c r="J182">
        <v>0</v>
      </c>
      <c r="K182" t="s">
        <v>18</v>
      </c>
      <c r="L182" t="s">
        <v>19</v>
      </c>
      <c r="M182">
        <v>44</v>
      </c>
      <c r="N182" t="str">
        <f t="shared" si="2"/>
        <v>Middle-Aged</v>
      </c>
      <c r="O182" t="s">
        <v>20</v>
      </c>
    </row>
    <row r="183" spans="1:15">
      <c r="A183">
        <v>22170</v>
      </c>
      <c r="B183" t="s">
        <v>63</v>
      </c>
      <c r="C183" t="s">
        <v>47</v>
      </c>
      <c r="D183" s="1">
        <v>30000</v>
      </c>
      <c r="E183" t="str" cm="1">
        <f t="array" ref="E183">_xlfn.IFS(D183&lt;40000,"Low Income",D183&lt;=80000,"Moderate Income",D183&gt;80000,"High Income")</f>
        <v>Low Income</v>
      </c>
      <c r="F183">
        <v>3</v>
      </c>
      <c r="G183" t="s">
        <v>21</v>
      </c>
      <c r="H183" t="s">
        <v>22</v>
      </c>
      <c r="I183" t="s">
        <v>20</v>
      </c>
      <c r="J183">
        <v>2</v>
      </c>
      <c r="K183" t="s">
        <v>29</v>
      </c>
      <c r="L183" t="s">
        <v>27</v>
      </c>
      <c r="M183">
        <v>55</v>
      </c>
      <c r="N183" t="str">
        <f t="shared" si="2"/>
        <v>Middle-Aged</v>
      </c>
      <c r="O183" t="s">
        <v>17</v>
      </c>
    </row>
    <row r="184" spans="1:15">
      <c r="A184">
        <v>19445</v>
      </c>
      <c r="B184" t="s">
        <v>63</v>
      </c>
      <c r="C184" t="s">
        <v>47</v>
      </c>
      <c r="D184" s="1">
        <v>10000</v>
      </c>
      <c r="E184" t="str" cm="1">
        <f t="array" ref="E184">_xlfn.IFS(D184&lt;40000,"Low Income",D184&lt;=80000,"Moderate Income",D184&gt;80000,"High Income")</f>
        <v>Low Income</v>
      </c>
      <c r="F184">
        <v>2</v>
      </c>
      <c r="G184" t="s">
        <v>30</v>
      </c>
      <c r="H184" t="s">
        <v>28</v>
      </c>
      <c r="I184" t="s">
        <v>20</v>
      </c>
      <c r="J184">
        <v>1</v>
      </c>
      <c r="K184" t="s">
        <v>18</v>
      </c>
      <c r="L184" t="s">
        <v>19</v>
      </c>
      <c r="M184">
        <v>38</v>
      </c>
      <c r="N184" t="str">
        <f t="shared" si="2"/>
        <v>Middle-Aged</v>
      </c>
      <c r="O184" t="s">
        <v>20</v>
      </c>
    </row>
    <row r="185" spans="1:15">
      <c r="A185">
        <v>15265</v>
      </c>
      <c r="B185" t="s">
        <v>64</v>
      </c>
      <c r="C185" t="s">
        <v>49</v>
      </c>
      <c r="D185" s="1">
        <v>40000</v>
      </c>
      <c r="E185" t="str" cm="1">
        <f t="array" ref="E185">_xlfn.IFS(D185&lt;40000,"Low Income",D185&lt;=80000,"Moderate Income",D185&gt;80000,"High Income")</f>
        <v>Moderate Income</v>
      </c>
      <c r="F185">
        <v>2</v>
      </c>
      <c r="G185" t="s">
        <v>15</v>
      </c>
      <c r="H185" t="s">
        <v>31</v>
      </c>
      <c r="I185" t="s">
        <v>17</v>
      </c>
      <c r="J185">
        <v>2</v>
      </c>
      <c r="K185" t="s">
        <v>26</v>
      </c>
      <c r="L185" t="s">
        <v>27</v>
      </c>
      <c r="M185">
        <v>66</v>
      </c>
      <c r="N185" t="str">
        <f t="shared" si="2"/>
        <v>Seniors</v>
      </c>
      <c r="O185" t="s">
        <v>17</v>
      </c>
    </row>
    <row r="186" spans="1:15">
      <c r="A186">
        <v>28918</v>
      </c>
      <c r="B186" t="s">
        <v>63</v>
      </c>
      <c r="C186" t="s">
        <v>47</v>
      </c>
      <c r="D186" s="1">
        <v>130000</v>
      </c>
      <c r="E186" t="str" cm="1">
        <f t="array" ref="E186">_xlfn.IFS(D186&lt;40000,"Low Income",D186&lt;=80000,"Moderate Income",D186&gt;80000,"High Income")</f>
        <v>High Income</v>
      </c>
      <c r="F186">
        <v>4</v>
      </c>
      <c r="G186" t="s">
        <v>30</v>
      </c>
      <c r="H186" t="s">
        <v>31</v>
      </c>
      <c r="I186" t="s">
        <v>20</v>
      </c>
      <c r="J186">
        <v>4</v>
      </c>
      <c r="K186" t="s">
        <v>61</v>
      </c>
      <c r="L186" t="s">
        <v>19</v>
      </c>
      <c r="M186">
        <v>58</v>
      </c>
      <c r="N186" t="str">
        <f t="shared" si="2"/>
        <v>Middle-Aged</v>
      </c>
      <c r="O186" t="s">
        <v>20</v>
      </c>
    </row>
    <row r="187" spans="1:15">
      <c r="A187">
        <v>15799</v>
      </c>
      <c r="B187" t="s">
        <v>63</v>
      </c>
      <c r="C187" t="s">
        <v>47</v>
      </c>
      <c r="D187" s="1">
        <v>90000</v>
      </c>
      <c r="E187" t="str" cm="1">
        <f t="array" ref="E187">_xlfn.IFS(D187&lt;40000,"Low Income",D187&lt;=80000,"Moderate Income",D187&gt;80000,"High Income")</f>
        <v>High Income</v>
      </c>
      <c r="F187">
        <v>1</v>
      </c>
      <c r="G187" t="s">
        <v>15</v>
      </c>
      <c r="H187" t="s">
        <v>23</v>
      </c>
      <c r="I187" t="s">
        <v>17</v>
      </c>
      <c r="J187">
        <v>1</v>
      </c>
      <c r="K187" t="s">
        <v>24</v>
      </c>
      <c r="L187" t="s">
        <v>27</v>
      </c>
      <c r="M187">
        <v>47</v>
      </c>
      <c r="N187" t="str">
        <f t="shared" si="2"/>
        <v>Middle-Aged</v>
      </c>
      <c r="O187" t="s">
        <v>17</v>
      </c>
    </row>
    <row r="188" spans="1:15">
      <c r="A188">
        <v>11047</v>
      </c>
      <c r="B188" t="s">
        <v>63</v>
      </c>
      <c r="C188" t="s">
        <v>47</v>
      </c>
      <c r="D188" s="1">
        <v>30000</v>
      </c>
      <c r="E188" t="str" cm="1">
        <f t="array" ref="E188">_xlfn.IFS(D188&lt;40000,"Low Income",D188&lt;=80000,"Moderate Income",D188&gt;80000,"High Income")</f>
        <v>Low Income</v>
      </c>
      <c r="F188">
        <v>3</v>
      </c>
      <c r="G188" t="s">
        <v>30</v>
      </c>
      <c r="H188" t="s">
        <v>16</v>
      </c>
      <c r="I188" t="s">
        <v>20</v>
      </c>
      <c r="J188">
        <v>2</v>
      </c>
      <c r="K188" t="s">
        <v>29</v>
      </c>
      <c r="L188" t="s">
        <v>27</v>
      </c>
      <c r="M188">
        <v>56</v>
      </c>
      <c r="N188" t="str">
        <f t="shared" si="2"/>
        <v>Middle-Aged</v>
      </c>
      <c r="O188" t="s">
        <v>17</v>
      </c>
    </row>
    <row r="189" spans="1:15">
      <c r="A189">
        <v>18151</v>
      </c>
      <c r="B189" t="s">
        <v>64</v>
      </c>
      <c r="C189" t="s">
        <v>49</v>
      </c>
      <c r="D189" s="1">
        <v>80000</v>
      </c>
      <c r="E189" t="str" cm="1">
        <f t="array" ref="E189">_xlfn.IFS(D189&lt;40000,"Low Income",D189&lt;=80000,"Moderate Income",D189&gt;80000,"High Income")</f>
        <v>Moderate Income</v>
      </c>
      <c r="F189">
        <v>5</v>
      </c>
      <c r="G189" t="s">
        <v>21</v>
      </c>
      <c r="H189" t="s">
        <v>23</v>
      </c>
      <c r="I189" t="s">
        <v>20</v>
      </c>
      <c r="J189">
        <v>2</v>
      </c>
      <c r="K189" t="s">
        <v>61</v>
      </c>
      <c r="L189" t="s">
        <v>19</v>
      </c>
      <c r="M189">
        <v>59</v>
      </c>
      <c r="N189" t="str">
        <f t="shared" si="2"/>
        <v>Middle-Aged</v>
      </c>
      <c r="O189" t="s">
        <v>20</v>
      </c>
    </row>
    <row r="190" spans="1:15">
      <c r="A190">
        <v>20606</v>
      </c>
      <c r="B190" t="s">
        <v>63</v>
      </c>
      <c r="C190" t="s">
        <v>47</v>
      </c>
      <c r="D190" s="1">
        <v>70000</v>
      </c>
      <c r="E190" t="str" cm="1">
        <f t="array" ref="E190">_xlfn.IFS(D190&lt;40000,"Low Income",D190&lt;=80000,"Moderate Income",D190&gt;80000,"High Income")</f>
        <v>Moderate Income</v>
      </c>
      <c r="F190">
        <v>0</v>
      </c>
      <c r="G190" t="s">
        <v>15</v>
      </c>
      <c r="H190" t="s">
        <v>23</v>
      </c>
      <c r="I190" t="s">
        <v>17</v>
      </c>
      <c r="J190">
        <v>4</v>
      </c>
      <c r="K190" t="s">
        <v>61</v>
      </c>
      <c r="L190" t="s">
        <v>27</v>
      </c>
      <c r="M190">
        <v>32</v>
      </c>
      <c r="N190" t="str">
        <f t="shared" si="2"/>
        <v>Middle-Aged</v>
      </c>
      <c r="O190" t="s">
        <v>17</v>
      </c>
    </row>
    <row r="191" spans="1:15">
      <c r="A191">
        <v>19482</v>
      </c>
      <c r="B191" t="s">
        <v>63</v>
      </c>
      <c r="C191" t="s">
        <v>49</v>
      </c>
      <c r="D191" s="1">
        <v>30000</v>
      </c>
      <c r="E191" t="str" cm="1">
        <f t="array" ref="E191">_xlfn.IFS(D191&lt;40000,"Low Income",D191&lt;=80000,"Moderate Income",D191&gt;80000,"High Income")</f>
        <v>Low Income</v>
      </c>
      <c r="F191">
        <v>1</v>
      </c>
      <c r="G191" t="s">
        <v>21</v>
      </c>
      <c r="H191" t="s">
        <v>22</v>
      </c>
      <c r="I191" t="s">
        <v>17</v>
      </c>
      <c r="J191">
        <v>1</v>
      </c>
      <c r="K191" t="s">
        <v>18</v>
      </c>
      <c r="L191" t="s">
        <v>19</v>
      </c>
      <c r="M191">
        <v>44</v>
      </c>
      <c r="N191" t="str">
        <f t="shared" si="2"/>
        <v>Middle-Aged</v>
      </c>
      <c r="O191" t="s">
        <v>17</v>
      </c>
    </row>
    <row r="192" spans="1:15">
      <c r="A192">
        <v>16489</v>
      </c>
      <c r="B192" t="s">
        <v>63</v>
      </c>
      <c r="C192" t="s">
        <v>49</v>
      </c>
      <c r="D192" s="1">
        <v>30000</v>
      </c>
      <c r="E192" t="str" cm="1">
        <f t="array" ref="E192">_xlfn.IFS(D192&lt;40000,"Low Income",D192&lt;=80000,"Moderate Income",D192&gt;80000,"High Income")</f>
        <v>Low Income</v>
      </c>
      <c r="F192">
        <v>3</v>
      </c>
      <c r="G192" t="s">
        <v>30</v>
      </c>
      <c r="H192" t="s">
        <v>16</v>
      </c>
      <c r="I192" t="s">
        <v>17</v>
      </c>
      <c r="J192">
        <v>2</v>
      </c>
      <c r="K192" t="s">
        <v>26</v>
      </c>
      <c r="L192" t="s">
        <v>27</v>
      </c>
      <c r="M192">
        <v>55</v>
      </c>
      <c r="N192" t="str">
        <f t="shared" si="2"/>
        <v>Middle-Aged</v>
      </c>
      <c r="O192" t="s">
        <v>20</v>
      </c>
    </row>
    <row r="193" spans="1:15">
      <c r="A193">
        <v>26944</v>
      </c>
      <c r="B193" t="s">
        <v>64</v>
      </c>
      <c r="C193" t="s">
        <v>49</v>
      </c>
      <c r="D193" s="1">
        <v>90000</v>
      </c>
      <c r="E193" t="str" cm="1">
        <f t="array" ref="E193">_xlfn.IFS(D193&lt;40000,"Low Income",D193&lt;=80000,"Moderate Income",D193&gt;80000,"High Income")</f>
        <v>High Income</v>
      </c>
      <c r="F193">
        <v>2</v>
      </c>
      <c r="G193" t="s">
        <v>30</v>
      </c>
      <c r="H193" t="s">
        <v>28</v>
      </c>
      <c r="I193" t="s">
        <v>17</v>
      </c>
      <c r="J193">
        <v>0</v>
      </c>
      <c r="K193" t="s">
        <v>18</v>
      </c>
      <c r="L193" t="s">
        <v>19</v>
      </c>
      <c r="M193">
        <v>36</v>
      </c>
      <c r="N193" t="str">
        <f t="shared" si="2"/>
        <v>Middle-Aged</v>
      </c>
      <c r="O193" t="s">
        <v>17</v>
      </c>
    </row>
    <row r="194" spans="1:15">
      <c r="A194">
        <v>15682</v>
      </c>
      <c r="B194" t="s">
        <v>64</v>
      </c>
      <c r="C194" t="s">
        <v>47</v>
      </c>
      <c r="D194" s="1">
        <v>80000</v>
      </c>
      <c r="E194" t="str" cm="1">
        <f t="array" ref="E194">_xlfn.IFS(D194&lt;40000,"Low Income",D194&lt;=80000,"Moderate Income",D194&gt;80000,"High Income")</f>
        <v>Moderate Income</v>
      </c>
      <c r="F194">
        <v>5</v>
      </c>
      <c r="G194" t="s">
        <v>15</v>
      </c>
      <c r="H194" t="s">
        <v>31</v>
      </c>
      <c r="I194" t="s">
        <v>17</v>
      </c>
      <c r="J194">
        <v>2</v>
      </c>
      <c r="K194" t="s">
        <v>61</v>
      </c>
      <c r="L194" t="s">
        <v>19</v>
      </c>
      <c r="M194">
        <v>62</v>
      </c>
      <c r="N194" t="str">
        <f t="shared" si="2"/>
        <v>Seniors</v>
      </c>
      <c r="O194" t="s">
        <v>20</v>
      </c>
    </row>
    <row r="195" spans="1:15">
      <c r="A195">
        <v>26032</v>
      </c>
      <c r="B195" t="s">
        <v>63</v>
      </c>
      <c r="C195" t="s">
        <v>47</v>
      </c>
      <c r="D195" s="1">
        <v>70000</v>
      </c>
      <c r="E195" t="str" cm="1">
        <f t="array" ref="E195">_xlfn.IFS(D195&lt;40000,"Low Income",D195&lt;=80000,"Moderate Income",D195&gt;80000,"High Income")</f>
        <v>Moderate Income</v>
      </c>
      <c r="F195">
        <v>5</v>
      </c>
      <c r="G195" t="s">
        <v>15</v>
      </c>
      <c r="H195" t="s">
        <v>23</v>
      </c>
      <c r="I195" t="s">
        <v>17</v>
      </c>
      <c r="J195">
        <v>4</v>
      </c>
      <c r="K195" t="s">
        <v>61</v>
      </c>
      <c r="L195" t="s">
        <v>27</v>
      </c>
      <c r="M195">
        <v>41</v>
      </c>
      <c r="N195" t="str">
        <f t="shared" ref="N195:N258" si="3">IF(M195&gt;=60,"Seniors",IF(M195&gt;30,"Middle-Aged",IF(M195&lt;=30,"Young Adults")))</f>
        <v>Middle-Aged</v>
      </c>
      <c r="O195" t="s">
        <v>20</v>
      </c>
    </row>
    <row r="196" spans="1:15">
      <c r="A196">
        <v>17843</v>
      </c>
      <c r="B196" t="s">
        <v>64</v>
      </c>
      <c r="C196" t="s">
        <v>47</v>
      </c>
      <c r="D196" s="1">
        <v>10000</v>
      </c>
      <c r="E196" t="str" cm="1">
        <f t="array" ref="E196">_xlfn.IFS(D196&lt;40000,"Low Income",D196&lt;=80000,"Moderate Income",D196&gt;80000,"High Income")</f>
        <v>Low Income</v>
      </c>
      <c r="F196">
        <v>0</v>
      </c>
      <c r="G196" t="s">
        <v>32</v>
      </c>
      <c r="H196" t="s">
        <v>28</v>
      </c>
      <c r="I196" t="s">
        <v>20</v>
      </c>
      <c r="J196">
        <v>2</v>
      </c>
      <c r="K196" t="s">
        <v>18</v>
      </c>
      <c r="L196" t="s">
        <v>19</v>
      </c>
      <c r="M196">
        <v>32</v>
      </c>
      <c r="N196" t="str">
        <f t="shared" si="3"/>
        <v>Middle-Aged</v>
      </c>
      <c r="O196" t="s">
        <v>20</v>
      </c>
    </row>
    <row r="197" spans="1:15">
      <c r="A197">
        <v>25559</v>
      </c>
      <c r="B197" t="s">
        <v>64</v>
      </c>
      <c r="C197" t="s">
        <v>49</v>
      </c>
      <c r="D197" s="1">
        <v>20000</v>
      </c>
      <c r="E197" t="str" cm="1">
        <f t="array" ref="E197">_xlfn.IFS(D197&lt;40000,"Low Income",D197&lt;=80000,"Moderate Income",D197&gt;80000,"High Income")</f>
        <v>Low Income</v>
      </c>
      <c r="F197">
        <v>0</v>
      </c>
      <c r="G197" t="s">
        <v>15</v>
      </c>
      <c r="H197" t="s">
        <v>22</v>
      </c>
      <c r="I197" t="s">
        <v>17</v>
      </c>
      <c r="J197">
        <v>0</v>
      </c>
      <c r="K197" t="s">
        <v>18</v>
      </c>
      <c r="L197" t="s">
        <v>27</v>
      </c>
      <c r="M197">
        <v>25</v>
      </c>
      <c r="N197" t="str">
        <f t="shared" si="3"/>
        <v>Young Adults</v>
      </c>
      <c r="O197" t="s">
        <v>17</v>
      </c>
    </row>
    <row r="198" spans="1:15">
      <c r="A198">
        <v>16209</v>
      </c>
      <c r="B198" t="s">
        <v>64</v>
      </c>
      <c r="C198" t="s">
        <v>47</v>
      </c>
      <c r="D198" s="1">
        <v>50000</v>
      </c>
      <c r="E198" t="str" cm="1">
        <f t="array" ref="E198">_xlfn.IFS(D198&lt;40000,"Low Income",D198&lt;=80000,"Moderate Income",D198&gt;80000,"High Income")</f>
        <v>Moderate Income</v>
      </c>
      <c r="F198">
        <v>0</v>
      </c>
      <c r="G198" t="s">
        <v>34</v>
      </c>
      <c r="H198" t="s">
        <v>16</v>
      </c>
      <c r="I198" t="s">
        <v>17</v>
      </c>
      <c r="J198">
        <v>0</v>
      </c>
      <c r="K198" t="s">
        <v>29</v>
      </c>
      <c r="L198" t="s">
        <v>19</v>
      </c>
      <c r="M198">
        <v>36</v>
      </c>
      <c r="N198" t="str">
        <f t="shared" si="3"/>
        <v>Middle-Aged</v>
      </c>
      <c r="O198" t="s">
        <v>20</v>
      </c>
    </row>
    <row r="199" spans="1:15">
      <c r="A199">
        <v>11147</v>
      </c>
      <c r="B199" t="s">
        <v>63</v>
      </c>
      <c r="C199" t="s">
        <v>49</v>
      </c>
      <c r="D199" s="1">
        <v>60000</v>
      </c>
      <c r="E199" t="str" cm="1">
        <f t="array" ref="E199">_xlfn.IFS(D199&lt;40000,"Low Income",D199&lt;=80000,"Moderate Income",D199&gt;80000,"High Income")</f>
        <v>Moderate Income</v>
      </c>
      <c r="F199">
        <v>2</v>
      </c>
      <c r="G199" t="s">
        <v>34</v>
      </c>
      <c r="H199" t="s">
        <v>31</v>
      </c>
      <c r="I199" t="s">
        <v>17</v>
      </c>
      <c r="J199">
        <v>1</v>
      </c>
      <c r="K199" t="s">
        <v>18</v>
      </c>
      <c r="L199" t="s">
        <v>27</v>
      </c>
      <c r="M199">
        <v>67</v>
      </c>
      <c r="N199" t="str">
        <f t="shared" si="3"/>
        <v>Seniors</v>
      </c>
      <c r="O199" t="s">
        <v>17</v>
      </c>
    </row>
    <row r="200" spans="1:15">
      <c r="A200">
        <v>15214</v>
      </c>
      <c r="B200" t="s">
        <v>64</v>
      </c>
      <c r="C200" t="s">
        <v>47</v>
      </c>
      <c r="D200" s="1">
        <v>100000</v>
      </c>
      <c r="E200" t="str" cm="1">
        <f t="array" ref="E200">_xlfn.IFS(D200&lt;40000,"Low Income",D200&lt;=80000,"Moderate Income",D200&gt;80000,"High Income")</f>
        <v>High Income</v>
      </c>
      <c r="F200">
        <v>0</v>
      </c>
      <c r="G200" t="s">
        <v>34</v>
      </c>
      <c r="H200" t="s">
        <v>31</v>
      </c>
      <c r="I200" t="s">
        <v>20</v>
      </c>
      <c r="J200">
        <v>1</v>
      </c>
      <c r="K200" t="s">
        <v>29</v>
      </c>
      <c r="L200" t="s">
        <v>27</v>
      </c>
      <c r="M200">
        <v>39</v>
      </c>
      <c r="N200" t="str">
        <f t="shared" si="3"/>
        <v>Middle-Aged</v>
      </c>
      <c r="O200" t="s">
        <v>17</v>
      </c>
    </row>
    <row r="201" spans="1:15">
      <c r="A201">
        <v>11453</v>
      </c>
      <c r="B201" t="s">
        <v>64</v>
      </c>
      <c r="C201" t="s">
        <v>49</v>
      </c>
      <c r="D201" s="1">
        <v>80000</v>
      </c>
      <c r="E201" t="str" cm="1">
        <f t="array" ref="E201">_xlfn.IFS(D201&lt;40000,"Low Income",D201&lt;=80000,"Moderate Income",D201&gt;80000,"High Income")</f>
        <v>Moderate Income</v>
      </c>
      <c r="F201">
        <v>0</v>
      </c>
      <c r="G201" t="s">
        <v>15</v>
      </c>
      <c r="H201" t="s">
        <v>23</v>
      </c>
      <c r="I201" t="s">
        <v>20</v>
      </c>
      <c r="J201">
        <v>3</v>
      </c>
      <c r="K201" t="s">
        <v>61</v>
      </c>
      <c r="L201" t="s">
        <v>27</v>
      </c>
      <c r="M201">
        <v>33</v>
      </c>
      <c r="N201" t="str">
        <f t="shared" si="3"/>
        <v>Middle-Aged</v>
      </c>
      <c r="O201" t="s">
        <v>17</v>
      </c>
    </row>
    <row r="202" spans="1:15">
      <c r="A202">
        <v>24584</v>
      </c>
      <c r="B202" t="s">
        <v>64</v>
      </c>
      <c r="C202" t="s">
        <v>49</v>
      </c>
      <c r="D202" s="1">
        <v>60000</v>
      </c>
      <c r="E202" t="str" cm="1">
        <f t="array" ref="E202">_xlfn.IFS(D202&lt;40000,"Low Income",D202&lt;=80000,"Moderate Income",D202&gt;80000,"High Income")</f>
        <v>Moderate Income</v>
      </c>
      <c r="F202">
        <v>0</v>
      </c>
      <c r="G202" t="s">
        <v>15</v>
      </c>
      <c r="H202" t="s">
        <v>23</v>
      </c>
      <c r="I202" t="s">
        <v>20</v>
      </c>
      <c r="J202">
        <v>3</v>
      </c>
      <c r="K202" t="s">
        <v>24</v>
      </c>
      <c r="L202" t="s">
        <v>27</v>
      </c>
      <c r="M202">
        <v>31</v>
      </c>
      <c r="N202" t="str">
        <f t="shared" si="3"/>
        <v>Middle-Aged</v>
      </c>
      <c r="O202" t="s">
        <v>20</v>
      </c>
    </row>
    <row r="203" spans="1:15">
      <c r="A203">
        <v>12585</v>
      </c>
      <c r="B203" t="s">
        <v>63</v>
      </c>
      <c r="C203" t="s">
        <v>49</v>
      </c>
      <c r="D203" s="1">
        <v>10000</v>
      </c>
      <c r="E203" t="str" cm="1">
        <f t="array" ref="E203">_xlfn.IFS(D203&lt;40000,"Low Income",D203&lt;=80000,"Moderate Income",D203&gt;80000,"High Income")</f>
        <v>Low Income</v>
      </c>
      <c r="F203">
        <v>1</v>
      </c>
      <c r="G203" t="s">
        <v>30</v>
      </c>
      <c r="H203" t="s">
        <v>28</v>
      </c>
      <c r="I203" t="s">
        <v>17</v>
      </c>
      <c r="J203">
        <v>0</v>
      </c>
      <c r="K203" t="s">
        <v>24</v>
      </c>
      <c r="L203" t="s">
        <v>27</v>
      </c>
      <c r="M203">
        <v>27</v>
      </c>
      <c r="N203" t="str">
        <f t="shared" si="3"/>
        <v>Young Adults</v>
      </c>
      <c r="O203" t="s">
        <v>17</v>
      </c>
    </row>
    <row r="204" spans="1:15">
      <c r="A204">
        <v>18626</v>
      </c>
      <c r="B204" t="s">
        <v>64</v>
      </c>
      <c r="C204" t="s">
        <v>49</v>
      </c>
      <c r="D204" s="1">
        <v>40000</v>
      </c>
      <c r="E204" t="str" cm="1">
        <f t="array" ref="E204">_xlfn.IFS(D204&lt;40000,"Low Income",D204&lt;=80000,"Moderate Income",D204&gt;80000,"High Income")</f>
        <v>Moderate Income</v>
      </c>
      <c r="F204">
        <v>2</v>
      </c>
      <c r="G204" t="s">
        <v>21</v>
      </c>
      <c r="H204" t="s">
        <v>22</v>
      </c>
      <c r="I204" t="s">
        <v>17</v>
      </c>
      <c r="J204">
        <v>0</v>
      </c>
      <c r="K204" t="s">
        <v>29</v>
      </c>
      <c r="L204" t="s">
        <v>19</v>
      </c>
      <c r="M204">
        <v>33</v>
      </c>
      <c r="N204" t="str">
        <f t="shared" si="3"/>
        <v>Middle-Aged</v>
      </c>
      <c r="O204" t="s">
        <v>17</v>
      </c>
    </row>
    <row r="205" spans="1:15">
      <c r="A205">
        <v>29298</v>
      </c>
      <c r="B205" t="s">
        <v>64</v>
      </c>
      <c r="C205" t="s">
        <v>47</v>
      </c>
      <c r="D205" s="1">
        <v>60000</v>
      </c>
      <c r="E205" t="str" cm="1">
        <f t="array" ref="E205">_xlfn.IFS(D205&lt;40000,"Low Income",D205&lt;=80000,"Moderate Income",D205&gt;80000,"High Income")</f>
        <v>Moderate Income</v>
      </c>
      <c r="F205">
        <v>1</v>
      </c>
      <c r="G205" t="s">
        <v>21</v>
      </c>
      <c r="H205" t="s">
        <v>16</v>
      </c>
      <c r="I205" t="s">
        <v>17</v>
      </c>
      <c r="J205">
        <v>1</v>
      </c>
      <c r="K205" t="s">
        <v>26</v>
      </c>
      <c r="L205" t="s">
        <v>27</v>
      </c>
      <c r="M205">
        <v>46</v>
      </c>
      <c r="N205" t="str">
        <f t="shared" si="3"/>
        <v>Middle-Aged</v>
      </c>
      <c r="O205" t="s">
        <v>17</v>
      </c>
    </row>
    <row r="206" spans="1:15">
      <c r="A206">
        <v>24842</v>
      </c>
      <c r="B206" t="s">
        <v>64</v>
      </c>
      <c r="C206" t="s">
        <v>47</v>
      </c>
      <c r="D206" s="1">
        <v>90000</v>
      </c>
      <c r="E206" t="str" cm="1">
        <f t="array" ref="E206">_xlfn.IFS(D206&lt;40000,"Low Income",D206&lt;=80000,"Moderate Income",D206&gt;80000,"High Income")</f>
        <v>High Income</v>
      </c>
      <c r="F206">
        <v>3</v>
      </c>
      <c r="G206" t="s">
        <v>30</v>
      </c>
      <c r="H206" t="s">
        <v>23</v>
      </c>
      <c r="I206" t="s">
        <v>20</v>
      </c>
      <c r="J206">
        <v>1</v>
      </c>
      <c r="K206" t="s">
        <v>24</v>
      </c>
      <c r="L206" t="s">
        <v>19</v>
      </c>
      <c r="M206">
        <v>51</v>
      </c>
      <c r="N206" t="str">
        <f t="shared" si="3"/>
        <v>Middle-Aged</v>
      </c>
      <c r="O206" t="s">
        <v>20</v>
      </c>
    </row>
    <row r="207" spans="1:15">
      <c r="A207">
        <v>15657</v>
      </c>
      <c r="B207" t="s">
        <v>63</v>
      </c>
      <c r="C207" t="s">
        <v>49</v>
      </c>
      <c r="D207" s="1">
        <v>30000</v>
      </c>
      <c r="E207" t="str" cm="1">
        <f t="array" ref="E207">_xlfn.IFS(D207&lt;40000,"Low Income",D207&lt;=80000,"Moderate Income",D207&gt;80000,"High Income")</f>
        <v>Low Income</v>
      </c>
      <c r="F207">
        <v>3</v>
      </c>
      <c r="G207" t="s">
        <v>34</v>
      </c>
      <c r="H207" t="s">
        <v>22</v>
      </c>
      <c r="I207" t="s">
        <v>17</v>
      </c>
      <c r="J207">
        <v>0</v>
      </c>
      <c r="K207" t="s">
        <v>18</v>
      </c>
      <c r="L207" t="s">
        <v>19</v>
      </c>
      <c r="M207">
        <v>46</v>
      </c>
      <c r="N207" t="str">
        <f t="shared" si="3"/>
        <v>Middle-Aged</v>
      </c>
      <c r="O207" t="s">
        <v>17</v>
      </c>
    </row>
    <row r="208" spans="1:15">
      <c r="A208">
        <v>11415</v>
      </c>
      <c r="B208" t="s">
        <v>64</v>
      </c>
      <c r="C208" t="s">
        <v>49</v>
      </c>
      <c r="D208" s="1">
        <v>90000</v>
      </c>
      <c r="E208" t="str" cm="1">
        <f t="array" ref="E208">_xlfn.IFS(D208&lt;40000,"Low Income",D208&lt;=80000,"Moderate Income",D208&gt;80000,"High Income")</f>
        <v>High Income</v>
      </c>
      <c r="F208">
        <v>5</v>
      </c>
      <c r="G208" t="s">
        <v>21</v>
      </c>
      <c r="H208" t="s">
        <v>23</v>
      </c>
      <c r="I208" t="s">
        <v>20</v>
      </c>
      <c r="J208">
        <v>2</v>
      </c>
      <c r="K208" t="s">
        <v>61</v>
      </c>
      <c r="L208" t="s">
        <v>19</v>
      </c>
      <c r="M208">
        <v>62</v>
      </c>
      <c r="N208" t="str">
        <f t="shared" si="3"/>
        <v>Seniors</v>
      </c>
      <c r="O208" t="s">
        <v>20</v>
      </c>
    </row>
    <row r="209" spans="1:15">
      <c r="A209">
        <v>28729</v>
      </c>
      <c r="B209" t="s">
        <v>64</v>
      </c>
      <c r="C209" t="s">
        <v>47</v>
      </c>
      <c r="D209" s="1">
        <v>20000</v>
      </c>
      <c r="E209" t="str" cm="1">
        <f t="array" ref="E209">_xlfn.IFS(D209&lt;40000,"Low Income",D209&lt;=80000,"Moderate Income",D209&gt;80000,"High Income")</f>
        <v>Low Income</v>
      </c>
      <c r="F209">
        <v>0</v>
      </c>
      <c r="G209" t="s">
        <v>32</v>
      </c>
      <c r="H209" t="s">
        <v>28</v>
      </c>
      <c r="I209" t="s">
        <v>17</v>
      </c>
      <c r="J209">
        <v>2</v>
      </c>
      <c r="K209" t="s">
        <v>29</v>
      </c>
      <c r="L209" t="s">
        <v>19</v>
      </c>
      <c r="M209">
        <v>26</v>
      </c>
      <c r="N209" t="str">
        <f t="shared" si="3"/>
        <v>Young Adults</v>
      </c>
      <c r="O209" t="s">
        <v>17</v>
      </c>
    </row>
    <row r="210" spans="1:15">
      <c r="A210">
        <v>22633</v>
      </c>
      <c r="B210" t="s">
        <v>64</v>
      </c>
      <c r="C210" t="s">
        <v>47</v>
      </c>
      <c r="D210" s="1">
        <v>40000</v>
      </c>
      <c r="E210" t="str" cm="1">
        <f t="array" ref="E210">_xlfn.IFS(D210&lt;40000,"Low Income",D210&lt;=80000,"Moderate Income",D210&gt;80000,"High Income")</f>
        <v>Moderate Income</v>
      </c>
      <c r="F210">
        <v>0</v>
      </c>
      <c r="G210" t="s">
        <v>34</v>
      </c>
      <c r="H210" t="s">
        <v>22</v>
      </c>
      <c r="I210" t="s">
        <v>17</v>
      </c>
      <c r="J210">
        <v>0</v>
      </c>
      <c r="K210" t="s">
        <v>18</v>
      </c>
      <c r="L210" t="s">
        <v>19</v>
      </c>
      <c r="M210">
        <v>37</v>
      </c>
      <c r="N210" t="str">
        <f t="shared" si="3"/>
        <v>Middle-Aged</v>
      </c>
      <c r="O210" t="s">
        <v>17</v>
      </c>
    </row>
    <row r="211" spans="1:15">
      <c r="A211">
        <v>25649</v>
      </c>
      <c r="B211" t="s">
        <v>64</v>
      </c>
      <c r="C211" t="s">
        <v>47</v>
      </c>
      <c r="D211" s="1">
        <v>30000</v>
      </c>
      <c r="E211" t="str" cm="1">
        <f t="array" ref="E211">_xlfn.IFS(D211&lt;40000,"Low Income",D211&lt;=80000,"Moderate Income",D211&gt;80000,"High Income")</f>
        <v>Low Income</v>
      </c>
      <c r="F211">
        <v>3</v>
      </c>
      <c r="G211" t="s">
        <v>21</v>
      </c>
      <c r="H211" t="s">
        <v>22</v>
      </c>
      <c r="I211" t="s">
        <v>17</v>
      </c>
      <c r="J211">
        <v>0</v>
      </c>
      <c r="K211" t="s">
        <v>18</v>
      </c>
      <c r="L211" t="s">
        <v>19</v>
      </c>
      <c r="M211">
        <v>42</v>
      </c>
      <c r="N211" t="str">
        <f t="shared" si="3"/>
        <v>Middle-Aged</v>
      </c>
      <c r="O211" t="s">
        <v>17</v>
      </c>
    </row>
    <row r="212" spans="1:15">
      <c r="A212">
        <v>14669</v>
      </c>
      <c r="B212" t="s">
        <v>63</v>
      </c>
      <c r="C212" t="s">
        <v>47</v>
      </c>
      <c r="D212" s="1">
        <v>80000</v>
      </c>
      <c r="E212" t="str" cm="1">
        <f t="array" ref="E212">_xlfn.IFS(D212&lt;40000,"Low Income",D212&lt;=80000,"Moderate Income",D212&gt;80000,"High Income")</f>
        <v>Moderate Income</v>
      </c>
      <c r="F212">
        <v>4</v>
      </c>
      <c r="G212" t="s">
        <v>34</v>
      </c>
      <c r="H212" t="s">
        <v>31</v>
      </c>
      <c r="I212" t="s">
        <v>17</v>
      </c>
      <c r="J212">
        <v>1</v>
      </c>
      <c r="K212" t="s">
        <v>18</v>
      </c>
      <c r="L212" t="s">
        <v>27</v>
      </c>
      <c r="M212">
        <v>36</v>
      </c>
      <c r="N212" t="str">
        <f t="shared" si="3"/>
        <v>Middle-Aged</v>
      </c>
      <c r="O212" t="s">
        <v>20</v>
      </c>
    </row>
    <row r="213" spans="1:15">
      <c r="A213">
        <v>19299</v>
      </c>
      <c r="B213" t="s">
        <v>63</v>
      </c>
      <c r="C213" t="s">
        <v>47</v>
      </c>
      <c r="D213" s="1">
        <v>50000</v>
      </c>
      <c r="E213" t="str" cm="1">
        <f t="array" ref="E213">_xlfn.IFS(D213&lt;40000,"Low Income",D213&lt;=80000,"Moderate Income",D213&gt;80000,"High Income")</f>
        <v>Moderate Income</v>
      </c>
      <c r="F213">
        <v>0</v>
      </c>
      <c r="G213" t="s">
        <v>34</v>
      </c>
      <c r="H213" t="s">
        <v>16</v>
      </c>
      <c r="I213" t="s">
        <v>17</v>
      </c>
      <c r="J213">
        <v>0</v>
      </c>
      <c r="K213" t="s">
        <v>18</v>
      </c>
      <c r="L213" t="s">
        <v>19</v>
      </c>
      <c r="M213">
        <v>36</v>
      </c>
      <c r="N213" t="str">
        <f t="shared" si="3"/>
        <v>Middle-Aged</v>
      </c>
      <c r="O213" t="s">
        <v>17</v>
      </c>
    </row>
    <row r="214" spans="1:15">
      <c r="A214">
        <v>20946</v>
      </c>
      <c r="B214" t="s">
        <v>64</v>
      </c>
      <c r="C214" t="s">
        <v>47</v>
      </c>
      <c r="D214" s="1">
        <v>30000</v>
      </c>
      <c r="E214" t="str" cm="1">
        <f t="array" ref="E214">_xlfn.IFS(D214&lt;40000,"Low Income",D214&lt;=80000,"Moderate Income",D214&gt;80000,"High Income")</f>
        <v>Low Income</v>
      </c>
      <c r="F214">
        <v>0</v>
      </c>
      <c r="G214" t="s">
        <v>21</v>
      </c>
      <c r="H214" t="s">
        <v>22</v>
      </c>
      <c r="I214" t="s">
        <v>20</v>
      </c>
      <c r="J214">
        <v>1</v>
      </c>
      <c r="K214" t="s">
        <v>24</v>
      </c>
      <c r="L214" t="s">
        <v>19</v>
      </c>
      <c r="M214">
        <v>30</v>
      </c>
      <c r="N214" t="str">
        <f t="shared" si="3"/>
        <v>Young Adults</v>
      </c>
      <c r="O214" t="s">
        <v>20</v>
      </c>
    </row>
    <row r="215" spans="1:15">
      <c r="A215">
        <v>11451</v>
      </c>
      <c r="B215" t="s">
        <v>64</v>
      </c>
      <c r="C215" t="s">
        <v>49</v>
      </c>
      <c r="D215" s="1">
        <v>70000</v>
      </c>
      <c r="E215" t="str" cm="1">
        <f t="array" ref="E215">_xlfn.IFS(D215&lt;40000,"Low Income",D215&lt;=80000,"Moderate Income",D215&gt;80000,"High Income")</f>
        <v>Moderate Income</v>
      </c>
      <c r="F215">
        <v>0</v>
      </c>
      <c r="G215" t="s">
        <v>15</v>
      </c>
      <c r="H215" t="s">
        <v>23</v>
      </c>
      <c r="I215" t="s">
        <v>20</v>
      </c>
      <c r="J215">
        <v>4</v>
      </c>
      <c r="K215" t="s">
        <v>61</v>
      </c>
      <c r="L215" t="s">
        <v>27</v>
      </c>
      <c r="M215">
        <v>31</v>
      </c>
      <c r="N215" t="str">
        <f t="shared" si="3"/>
        <v>Middle-Aged</v>
      </c>
      <c r="O215" t="s">
        <v>17</v>
      </c>
    </row>
    <row r="216" spans="1:15">
      <c r="A216">
        <v>25553</v>
      </c>
      <c r="B216" t="s">
        <v>63</v>
      </c>
      <c r="C216" t="s">
        <v>49</v>
      </c>
      <c r="D216" s="1">
        <v>30000</v>
      </c>
      <c r="E216" t="str" cm="1">
        <f t="array" ref="E216">_xlfn.IFS(D216&lt;40000,"Low Income",D216&lt;=80000,"Moderate Income",D216&gt;80000,"High Income")</f>
        <v>Low Income</v>
      </c>
      <c r="F216">
        <v>1</v>
      </c>
      <c r="G216" t="s">
        <v>15</v>
      </c>
      <c r="H216" t="s">
        <v>22</v>
      </c>
      <c r="I216" t="s">
        <v>17</v>
      </c>
      <c r="J216">
        <v>0</v>
      </c>
      <c r="K216" t="s">
        <v>18</v>
      </c>
      <c r="L216" t="s">
        <v>19</v>
      </c>
      <c r="M216">
        <v>65</v>
      </c>
      <c r="N216" t="str">
        <f t="shared" si="3"/>
        <v>Seniors</v>
      </c>
      <c r="O216" t="s">
        <v>17</v>
      </c>
    </row>
    <row r="217" spans="1:15">
      <c r="A217">
        <v>27951</v>
      </c>
      <c r="B217" t="s">
        <v>64</v>
      </c>
      <c r="C217" t="s">
        <v>49</v>
      </c>
      <c r="D217" s="1">
        <v>80000</v>
      </c>
      <c r="E217" t="str" cm="1">
        <f t="array" ref="E217">_xlfn.IFS(D217&lt;40000,"Low Income",D217&lt;=80000,"Moderate Income",D217&gt;80000,"High Income")</f>
        <v>Moderate Income</v>
      </c>
      <c r="F217">
        <v>4</v>
      </c>
      <c r="G217" t="s">
        <v>21</v>
      </c>
      <c r="H217" t="s">
        <v>23</v>
      </c>
      <c r="I217" t="s">
        <v>20</v>
      </c>
      <c r="J217">
        <v>2</v>
      </c>
      <c r="K217" t="s">
        <v>24</v>
      </c>
      <c r="L217" t="s">
        <v>19</v>
      </c>
      <c r="M217">
        <v>54</v>
      </c>
      <c r="N217" t="str">
        <f t="shared" si="3"/>
        <v>Middle-Aged</v>
      </c>
      <c r="O217" t="s">
        <v>17</v>
      </c>
    </row>
    <row r="218" spans="1:15">
      <c r="A218">
        <v>25026</v>
      </c>
      <c r="B218" t="s">
        <v>63</v>
      </c>
      <c r="C218" t="s">
        <v>49</v>
      </c>
      <c r="D218" s="1">
        <v>20000</v>
      </c>
      <c r="E218" t="str" cm="1">
        <f t="array" ref="E218">_xlfn.IFS(D218&lt;40000,"Low Income",D218&lt;=80000,"Moderate Income",D218&gt;80000,"High Income")</f>
        <v>Low Income</v>
      </c>
      <c r="F218">
        <v>2</v>
      </c>
      <c r="G218" t="s">
        <v>32</v>
      </c>
      <c r="H218" t="s">
        <v>22</v>
      </c>
      <c r="I218" t="s">
        <v>17</v>
      </c>
      <c r="J218">
        <v>3</v>
      </c>
      <c r="K218" t="s">
        <v>26</v>
      </c>
      <c r="L218" t="s">
        <v>27</v>
      </c>
      <c r="M218">
        <v>54</v>
      </c>
      <c r="N218" t="str">
        <f t="shared" si="3"/>
        <v>Middle-Aged</v>
      </c>
      <c r="O218" t="s">
        <v>20</v>
      </c>
    </row>
    <row r="219" spans="1:15">
      <c r="A219">
        <v>13673</v>
      </c>
      <c r="B219" t="s">
        <v>64</v>
      </c>
      <c r="C219" t="s">
        <v>47</v>
      </c>
      <c r="D219" s="1">
        <v>20000</v>
      </c>
      <c r="E219" t="str" cm="1">
        <f t="array" ref="E219">_xlfn.IFS(D219&lt;40000,"Low Income",D219&lt;=80000,"Moderate Income",D219&gt;80000,"High Income")</f>
        <v>Low Income</v>
      </c>
      <c r="F219">
        <v>0</v>
      </c>
      <c r="G219" t="s">
        <v>32</v>
      </c>
      <c r="H219" t="s">
        <v>28</v>
      </c>
      <c r="I219" t="s">
        <v>20</v>
      </c>
      <c r="J219">
        <v>2</v>
      </c>
      <c r="K219" t="s">
        <v>18</v>
      </c>
      <c r="L219" t="s">
        <v>19</v>
      </c>
      <c r="M219">
        <v>25</v>
      </c>
      <c r="N219" t="str">
        <f t="shared" si="3"/>
        <v>Young Adults</v>
      </c>
      <c r="O219" t="s">
        <v>20</v>
      </c>
    </row>
    <row r="220" spans="1:15">
      <c r="A220">
        <v>16043</v>
      </c>
      <c r="B220" t="s">
        <v>64</v>
      </c>
      <c r="C220" t="s">
        <v>49</v>
      </c>
      <c r="D220" s="1">
        <v>10000</v>
      </c>
      <c r="E220" t="str" cm="1">
        <f t="array" ref="E220">_xlfn.IFS(D220&lt;40000,"Low Income",D220&lt;=80000,"Moderate Income",D220&gt;80000,"High Income")</f>
        <v>Low Income</v>
      </c>
      <c r="F220">
        <v>1</v>
      </c>
      <c r="G220" t="s">
        <v>15</v>
      </c>
      <c r="H220" t="s">
        <v>28</v>
      </c>
      <c r="I220" t="s">
        <v>17</v>
      </c>
      <c r="J220">
        <v>0</v>
      </c>
      <c r="K220" t="s">
        <v>18</v>
      </c>
      <c r="L220" t="s">
        <v>19</v>
      </c>
      <c r="M220">
        <v>48</v>
      </c>
      <c r="N220" t="str">
        <f t="shared" si="3"/>
        <v>Middle-Aged</v>
      </c>
      <c r="O220" t="s">
        <v>20</v>
      </c>
    </row>
    <row r="221" spans="1:15">
      <c r="A221">
        <v>22399</v>
      </c>
      <c r="B221" t="s">
        <v>64</v>
      </c>
      <c r="C221" t="s">
        <v>49</v>
      </c>
      <c r="D221" s="1">
        <v>10000</v>
      </c>
      <c r="E221" t="str" cm="1">
        <f t="array" ref="E221">_xlfn.IFS(D221&lt;40000,"Low Income",D221&lt;=80000,"Moderate Income",D221&gt;80000,"High Income")</f>
        <v>Low Income</v>
      </c>
      <c r="F221">
        <v>0</v>
      </c>
      <c r="G221" t="s">
        <v>21</v>
      </c>
      <c r="H221" t="s">
        <v>28</v>
      </c>
      <c r="I221" t="s">
        <v>17</v>
      </c>
      <c r="J221">
        <v>1</v>
      </c>
      <c r="K221" t="s">
        <v>29</v>
      </c>
      <c r="L221" t="s">
        <v>27</v>
      </c>
      <c r="M221">
        <v>26</v>
      </c>
      <c r="N221" t="str">
        <f t="shared" si="3"/>
        <v>Young Adults</v>
      </c>
      <c r="O221" t="s">
        <v>17</v>
      </c>
    </row>
    <row r="222" spans="1:15">
      <c r="A222">
        <v>27696</v>
      </c>
      <c r="B222" t="s">
        <v>63</v>
      </c>
      <c r="C222" t="s">
        <v>49</v>
      </c>
      <c r="D222" s="1">
        <v>60000</v>
      </c>
      <c r="E222" t="str" cm="1">
        <f t="array" ref="E222">_xlfn.IFS(D222&lt;40000,"Low Income",D222&lt;=80000,"Moderate Income",D222&gt;80000,"High Income")</f>
        <v>Moderate Income</v>
      </c>
      <c r="F222">
        <v>1</v>
      </c>
      <c r="G222" t="s">
        <v>15</v>
      </c>
      <c r="H222" t="s">
        <v>23</v>
      </c>
      <c r="I222" t="s">
        <v>17</v>
      </c>
      <c r="J222">
        <v>1</v>
      </c>
      <c r="K222" t="s">
        <v>26</v>
      </c>
      <c r="L222" t="s">
        <v>27</v>
      </c>
      <c r="M222">
        <v>43</v>
      </c>
      <c r="N222" t="str">
        <f t="shared" si="3"/>
        <v>Middle-Aged</v>
      </c>
      <c r="O222" t="s">
        <v>17</v>
      </c>
    </row>
    <row r="223" spans="1:15">
      <c r="A223">
        <v>25313</v>
      </c>
      <c r="B223" t="s">
        <v>64</v>
      </c>
      <c r="C223" t="s">
        <v>49</v>
      </c>
      <c r="D223" s="1">
        <v>10000</v>
      </c>
      <c r="E223" t="str" cm="1">
        <f t="array" ref="E223">_xlfn.IFS(D223&lt;40000,"Low Income",D223&lt;=80000,"Moderate Income",D223&gt;80000,"High Income")</f>
        <v>Low Income</v>
      </c>
      <c r="F223">
        <v>0</v>
      </c>
      <c r="G223" t="s">
        <v>32</v>
      </c>
      <c r="H223" t="s">
        <v>28</v>
      </c>
      <c r="I223" t="s">
        <v>20</v>
      </c>
      <c r="J223">
        <v>2</v>
      </c>
      <c r="K223" t="s">
        <v>29</v>
      </c>
      <c r="L223" t="s">
        <v>19</v>
      </c>
      <c r="M223">
        <v>35</v>
      </c>
      <c r="N223" t="str">
        <f t="shared" si="3"/>
        <v>Middle-Aged</v>
      </c>
      <c r="O223" t="s">
        <v>20</v>
      </c>
    </row>
    <row r="224" spans="1:15">
      <c r="A224">
        <v>13813</v>
      </c>
      <c r="B224" t="s">
        <v>63</v>
      </c>
      <c r="C224" t="s">
        <v>47</v>
      </c>
      <c r="D224" s="1">
        <v>30000</v>
      </c>
      <c r="E224" t="str" cm="1">
        <f t="array" ref="E224">_xlfn.IFS(D224&lt;40000,"Low Income",D224&lt;=80000,"Moderate Income",D224&gt;80000,"High Income")</f>
        <v>Low Income</v>
      </c>
      <c r="F224">
        <v>3</v>
      </c>
      <c r="G224" t="s">
        <v>21</v>
      </c>
      <c r="H224" t="s">
        <v>22</v>
      </c>
      <c r="I224" t="s">
        <v>20</v>
      </c>
      <c r="J224">
        <v>0</v>
      </c>
      <c r="K224" t="s">
        <v>18</v>
      </c>
      <c r="L224" t="s">
        <v>19</v>
      </c>
      <c r="M224">
        <v>42</v>
      </c>
      <c r="N224" t="str">
        <f t="shared" si="3"/>
        <v>Middle-Aged</v>
      </c>
      <c r="O224" t="s">
        <v>20</v>
      </c>
    </row>
    <row r="225" spans="1:15">
      <c r="A225">
        <v>18711</v>
      </c>
      <c r="B225" t="s">
        <v>64</v>
      </c>
      <c r="C225" t="s">
        <v>47</v>
      </c>
      <c r="D225" s="1">
        <v>70000</v>
      </c>
      <c r="E225" t="str" cm="1">
        <f t="array" ref="E225">_xlfn.IFS(D225&lt;40000,"Low Income",D225&lt;=80000,"Moderate Income",D225&gt;80000,"High Income")</f>
        <v>Moderate Income</v>
      </c>
      <c r="F225">
        <v>5</v>
      </c>
      <c r="G225" t="s">
        <v>15</v>
      </c>
      <c r="H225" t="s">
        <v>23</v>
      </c>
      <c r="I225" t="s">
        <v>17</v>
      </c>
      <c r="J225">
        <v>4</v>
      </c>
      <c r="K225" t="s">
        <v>61</v>
      </c>
      <c r="L225" t="s">
        <v>27</v>
      </c>
      <c r="M225">
        <v>39</v>
      </c>
      <c r="N225" t="str">
        <f t="shared" si="3"/>
        <v>Middle-Aged</v>
      </c>
      <c r="O225" t="s">
        <v>20</v>
      </c>
    </row>
    <row r="226" spans="1:15">
      <c r="A226">
        <v>19650</v>
      </c>
      <c r="B226" t="s">
        <v>63</v>
      </c>
      <c r="C226" t="s">
        <v>47</v>
      </c>
      <c r="D226" s="1">
        <v>30000</v>
      </c>
      <c r="E226" t="str" cm="1">
        <f t="array" ref="E226">_xlfn.IFS(D226&lt;40000,"Low Income",D226&lt;=80000,"Moderate Income",D226&gt;80000,"High Income")</f>
        <v>Low Income</v>
      </c>
      <c r="F226">
        <v>2</v>
      </c>
      <c r="G226" t="s">
        <v>21</v>
      </c>
      <c r="H226" t="s">
        <v>22</v>
      </c>
      <c r="I226" t="s">
        <v>20</v>
      </c>
      <c r="J226">
        <v>2</v>
      </c>
      <c r="K226" t="s">
        <v>18</v>
      </c>
      <c r="L226" t="s">
        <v>27</v>
      </c>
      <c r="M226">
        <v>67</v>
      </c>
      <c r="N226" t="str">
        <f t="shared" si="3"/>
        <v>Seniors</v>
      </c>
      <c r="O226" t="s">
        <v>20</v>
      </c>
    </row>
    <row r="227" spans="1:15">
      <c r="A227">
        <v>14135</v>
      </c>
      <c r="B227" t="s">
        <v>63</v>
      </c>
      <c r="C227" t="s">
        <v>49</v>
      </c>
      <c r="D227" s="1">
        <v>20000</v>
      </c>
      <c r="E227" t="str" cm="1">
        <f t="array" ref="E227">_xlfn.IFS(D227&lt;40000,"Low Income",D227&lt;=80000,"Moderate Income",D227&gt;80000,"High Income")</f>
        <v>Low Income</v>
      </c>
      <c r="F227">
        <v>1</v>
      </c>
      <c r="G227" t="s">
        <v>21</v>
      </c>
      <c r="H227" t="s">
        <v>28</v>
      </c>
      <c r="I227" t="s">
        <v>17</v>
      </c>
      <c r="J227">
        <v>0</v>
      </c>
      <c r="K227" t="s">
        <v>29</v>
      </c>
      <c r="L227" t="s">
        <v>19</v>
      </c>
      <c r="M227">
        <v>35</v>
      </c>
      <c r="N227" t="str">
        <f t="shared" si="3"/>
        <v>Middle-Aged</v>
      </c>
      <c r="O227" t="s">
        <v>20</v>
      </c>
    </row>
    <row r="228" spans="1:15">
      <c r="A228">
        <v>12833</v>
      </c>
      <c r="B228" t="s">
        <v>64</v>
      </c>
      <c r="C228" t="s">
        <v>47</v>
      </c>
      <c r="D228" s="1">
        <v>20000</v>
      </c>
      <c r="E228" t="str" cm="1">
        <f t="array" ref="E228">_xlfn.IFS(D228&lt;40000,"Low Income",D228&lt;=80000,"Moderate Income",D228&gt;80000,"High Income")</f>
        <v>Low Income</v>
      </c>
      <c r="F228">
        <v>3</v>
      </c>
      <c r="G228" t="s">
        <v>30</v>
      </c>
      <c r="H228" t="s">
        <v>28</v>
      </c>
      <c r="I228" t="s">
        <v>17</v>
      </c>
      <c r="J228">
        <v>1</v>
      </c>
      <c r="K228" t="s">
        <v>18</v>
      </c>
      <c r="L228" t="s">
        <v>19</v>
      </c>
      <c r="M228">
        <v>42</v>
      </c>
      <c r="N228" t="str">
        <f t="shared" si="3"/>
        <v>Middle-Aged</v>
      </c>
      <c r="O228" t="s">
        <v>17</v>
      </c>
    </row>
    <row r="229" spans="1:15">
      <c r="A229">
        <v>26849</v>
      </c>
      <c r="B229" t="s">
        <v>63</v>
      </c>
      <c r="C229" t="s">
        <v>49</v>
      </c>
      <c r="D229" s="1">
        <v>10000</v>
      </c>
      <c r="E229" t="str" cm="1">
        <f t="array" ref="E229">_xlfn.IFS(D229&lt;40000,"Low Income",D229&lt;=80000,"Moderate Income",D229&gt;80000,"High Income")</f>
        <v>Low Income</v>
      </c>
      <c r="F229">
        <v>3</v>
      </c>
      <c r="G229" t="s">
        <v>32</v>
      </c>
      <c r="H229" t="s">
        <v>28</v>
      </c>
      <c r="I229" t="s">
        <v>17</v>
      </c>
      <c r="J229">
        <v>2</v>
      </c>
      <c r="K229" t="s">
        <v>18</v>
      </c>
      <c r="L229" t="s">
        <v>19</v>
      </c>
      <c r="M229">
        <v>43</v>
      </c>
      <c r="N229" t="str">
        <f t="shared" si="3"/>
        <v>Middle-Aged</v>
      </c>
      <c r="O229" t="s">
        <v>20</v>
      </c>
    </row>
    <row r="230" spans="1:15">
      <c r="A230">
        <v>20962</v>
      </c>
      <c r="B230" t="s">
        <v>63</v>
      </c>
      <c r="C230" t="s">
        <v>47</v>
      </c>
      <c r="D230" s="1">
        <v>20000</v>
      </c>
      <c r="E230" t="str" cm="1">
        <f t="array" ref="E230">_xlfn.IFS(D230&lt;40000,"Low Income",D230&lt;=80000,"Moderate Income",D230&gt;80000,"High Income")</f>
        <v>Low Income</v>
      </c>
      <c r="F230">
        <v>1</v>
      </c>
      <c r="G230" t="s">
        <v>34</v>
      </c>
      <c r="H230" t="s">
        <v>22</v>
      </c>
      <c r="I230" t="s">
        <v>17</v>
      </c>
      <c r="J230">
        <v>0</v>
      </c>
      <c r="K230" t="s">
        <v>18</v>
      </c>
      <c r="L230" t="s">
        <v>19</v>
      </c>
      <c r="M230">
        <v>45</v>
      </c>
      <c r="N230" t="str">
        <f t="shared" si="3"/>
        <v>Middle-Aged</v>
      </c>
      <c r="O230" t="s">
        <v>20</v>
      </c>
    </row>
    <row r="231" spans="1:15">
      <c r="A231">
        <v>28915</v>
      </c>
      <c r="B231" t="s">
        <v>64</v>
      </c>
      <c r="C231" t="s">
        <v>49</v>
      </c>
      <c r="D231" s="1">
        <v>80000</v>
      </c>
      <c r="E231" t="str" cm="1">
        <f t="array" ref="E231">_xlfn.IFS(D231&lt;40000,"Low Income",D231&lt;=80000,"Moderate Income",D231&gt;80000,"High Income")</f>
        <v>Moderate Income</v>
      </c>
      <c r="F231">
        <v>5</v>
      </c>
      <c r="G231" t="s">
        <v>30</v>
      </c>
      <c r="H231" t="s">
        <v>31</v>
      </c>
      <c r="I231" t="s">
        <v>17</v>
      </c>
      <c r="J231">
        <v>3</v>
      </c>
      <c r="K231" t="s">
        <v>61</v>
      </c>
      <c r="L231" t="s">
        <v>19</v>
      </c>
      <c r="M231">
        <v>57</v>
      </c>
      <c r="N231" t="str">
        <f t="shared" si="3"/>
        <v>Middle-Aged</v>
      </c>
      <c r="O231" t="s">
        <v>20</v>
      </c>
    </row>
    <row r="232" spans="1:15">
      <c r="A232">
        <v>22830</v>
      </c>
      <c r="B232" t="s">
        <v>63</v>
      </c>
      <c r="C232" t="s">
        <v>49</v>
      </c>
      <c r="D232" s="1">
        <v>120000</v>
      </c>
      <c r="E232" t="str" cm="1">
        <f t="array" ref="E232">_xlfn.IFS(D232&lt;40000,"Low Income",D232&lt;=80000,"Moderate Income",D232&gt;80000,"High Income")</f>
        <v>High Income</v>
      </c>
      <c r="F232">
        <v>4</v>
      </c>
      <c r="G232" t="s">
        <v>21</v>
      </c>
      <c r="H232" t="s">
        <v>31</v>
      </c>
      <c r="I232" t="s">
        <v>17</v>
      </c>
      <c r="J232">
        <v>3</v>
      </c>
      <c r="K232" t="s">
        <v>61</v>
      </c>
      <c r="L232" t="s">
        <v>19</v>
      </c>
      <c r="M232">
        <v>56</v>
      </c>
      <c r="N232" t="str">
        <f t="shared" si="3"/>
        <v>Middle-Aged</v>
      </c>
      <c r="O232" t="s">
        <v>20</v>
      </c>
    </row>
    <row r="233" spans="1:15">
      <c r="A233">
        <v>14777</v>
      </c>
      <c r="B233" t="s">
        <v>63</v>
      </c>
      <c r="C233" t="s">
        <v>47</v>
      </c>
      <c r="D233" s="1">
        <v>40000</v>
      </c>
      <c r="E233" t="str" cm="1">
        <f t="array" ref="E233">_xlfn.IFS(D233&lt;40000,"Low Income",D233&lt;=80000,"Moderate Income",D233&gt;80000,"High Income")</f>
        <v>Moderate Income</v>
      </c>
      <c r="F233">
        <v>0</v>
      </c>
      <c r="G233" t="s">
        <v>15</v>
      </c>
      <c r="H233" t="s">
        <v>22</v>
      </c>
      <c r="I233" t="s">
        <v>17</v>
      </c>
      <c r="J233">
        <v>0</v>
      </c>
      <c r="K233" t="s">
        <v>18</v>
      </c>
      <c r="L233" t="s">
        <v>19</v>
      </c>
      <c r="M233">
        <v>38</v>
      </c>
      <c r="N233" t="str">
        <f t="shared" si="3"/>
        <v>Middle-Aged</v>
      </c>
      <c r="O233" t="s">
        <v>17</v>
      </c>
    </row>
    <row r="234" spans="1:15">
      <c r="A234">
        <v>12591</v>
      </c>
      <c r="B234" t="s">
        <v>63</v>
      </c>
      <c r="C234" t="s">
        <v>47</v>
      </c>
      <c r="D234" s="1">
        <v>30000</v>
      </c>
      <c r="E234" t="str" cm="1">
        <f t="array" ref="E234">_xlfn.IFS(D234&lt;40000,"Low Income",D234&lt;=80000,"Moderate Income",D234&gt;80000,"High Income")</f>
        <v>Low Income</v>
      </c>
      <c r="F234">
        <v>4</v>
      </c>
      <c r="G234" t="s">
        <v>34</v>
      </c>
      <c r="H234" t="s">
        <v>22</v>
      </c>
      <c r="I234" t="s">
        <v>17</v>
      </c>
      <c r="J234">
        <v>0</v>
      </c>
      <c r="K234" t="s">
        <v>18</v>
      </c>
      <c r="L234" t="s">
        <v>19</v>
      </c>
      <c r="M234">
        <v>45</v>
      </c>
      <c r="N234" t="str">
        <f t="shared" si="3"/>
        <v>Middle-Aged</v>
      </c>
      <c r="O234" t="s">
        <v>20</v>
      </c>
    </row>
    <row r="235" spans="1:15">
      <c r="A235">
        <v>24174</v>
      </c>
      <c r="B235" t="s">
        <v>63</v>
      </c>
      <c r="C235" t="s">
        <v>49</v>
      </c>
      <c r="D235" s="1">
        <v>20000</v>
      </c>
      <c r="E235" t="str" cm="1">
        <f t="array" ref="E235">_xlfn.IFS(D235&lt;40000,"Low Income",D235&lt;=80000,"Moderate Income",D235&gt;80000,"High Income")</f>
        <v>Low Income</v>
      </c>
      <c r="F235">
        <v>0</v>
      </c>
      <c r="G235" t="s">
        <v>15</v>
      </c>
      <c r="H235" t="s">
        <v>22</v>
      </c>
      <c r="I235" t="s">
        <v>17</v>
      </c>
      <c r="J235">
        <v>0</v>
      </c>
      <c r="K235" t="s">
        <v>18</v>
      </c>
      <c r="L235" t="s">
        <v>27</v>
      </c>
      <c r="M235">
        <v>27</v>
      </c>
      <c r="N235" t="str">
        <f t="shared" si="3"/>
        <v>Young Adults</v>
      </c>
      <c r="O235" t="s">
        <v>17</v>
      </c>
    </row>
    <row r="236" spans="1:15">
      <c r="A236">
        <v>24611</v>
      </c>
      <c r="B236" t="s">
        <v>64</v>
      </c>
      <c r="C236" t="s">
        <v>49</v>
      </c>
      <c r="D236" s="1">
        <v>90000</v>
      </c>
      <c r="E236" t="str" cm="1">
        <f t="array" ref="E236">_xlfn.IFS(D236&lt;40000,"Low Income",D236&lt;=80000,"Moderate Income",D236&gt;80000,"High Income")</f>
        <v>High Income</v>
      </c>
      <c r="F236">
        <v>0</v>
      </c>
      <c r="G236" t="s">
        <v>15</v>
      </c>
      <c r="H236" t="s">
        <v>23</v>
      </c>
      <c r="I236" t="s">
        <v>20</v>
      </c>
      <c r="J236">
        <v>4</v>
      </c>
      <c r="K236" t="s">
        <v>61</v>
      </c>
      <c r="L236" t="s">
        <v>27</v>
      </c>
      <c r="M236">
        <v>35</v>
      </c>
      <c r="N236" t="str">
        <f t="shared" si="3"/>
        <v>Middle-Aged</v>
      </c>
      <c r="O236" t="s">
        <v>17</v>
      </c>
    </row>
    <row r="237" spans="1:15">
      <c r="A237">
        <v>11340</v>
      </c>
      <c r="B237" t="s">
        <v>63</v>
      </c>
      <c r="C237" t="s">
        <v>47</v>
      </c>
      <c r="D237" s="1">
        <v>10000</v>
      </c>
      <c r="E237" t="str" cm="1">
        <f t="array" ref="E237">_xlfn.IFS(D237&lt;40000,"Low Income",D237&lt;=80000,"Moderate Income",D237&gt;80000,"High Income")</f>
        <v>Low Income</v>
      </c>
      <c r="F237">
        <v>1</v>
      </c>
      <c r="G237" t="s">
        <v>34</v>
      </c>
      <c r="H237" t="s">
        <v>22</v>
      </c>
      <c r="I237" t="s">
        <v>17</v>
      </c>
      <c r="J237">
        <v>0</v>
      </c>
      <c r="K237" t="s">
        <v>18</v>
      </c>
      <c r="L237" t="s">
        <v>19</v>
      </c>
      <c r="M237">
        <v>70</v>
      </c>
      <c r="N237" t="str">
        <f t="shared" si="3"/>
        <v>Seniors</v>
      </c>
      <c r="O237" t="s">
        <v>17</v>
      </c>
    </row>
    <row r="238" spans="1:15">
      <c r="A238">
        <v>25693</v>
      </c>
      <c r="B238" t="s">
        <v>64</v>
      </c>
      <c r="C238" t="s">
        <v>47</v>
      </c>
      <c r="D238" s="1">
        <v>30000</v>
      </c>
      <c r="E238" t="str" cm="1">
        <f t="array" ref="E238">_xlfn.IFS(D238&lt;40000,"Low Income",D238&lt;=80000,"Moderate Income",D238&gt;80000,"High Income")</f>
        <v>Low Income</v>
      </c>
      <c r="F238">
        <v>5</v>
      </c>
      <c r="G238" t="s">
        <v>34</v>
      </c>
      <c r="H238" t="s">
        <v>22</v>
      </c>
      <c r="I238" t="s">
        <v>17</v>
      </c>
      <c r="J238">
        <v>0</v>
      </c>
      <c r="K238" t="s">
        <v>18</v>
      </c>
      <c r="L238" t="s">
        <v>19</v>
      </c>
      <c r="M238">
        <v>44</v>
      </c>
      <c r="N238" t="str">
        <f t="shared" si="3"/>
        <v>Middle-Aged</v>
      </c>
      <c r="O238" t="s">
        <v>17</v>
      </c>
    </row>
    <row r="239" spans="1:15">
      <c r="A239">
        <v>25555</v>
      </c>
      <c r="B239" t="s">
        <v>63</v>
      </c>
      <c r="C239" t="s">
        <v>47</v>
      </c>
      <c r="D239" s="1">
        <v>10000</v>
      </c>
      <c r="E239" t="str" cm="1">
        <f t="array" ref="E239">_xlfn.IFS(D239&lt;40000,"Low Income",D239&lt;=80000,"Moderate Income",D239&gt;80000,"High Income")</f>
        <v>Low Income</v>
      </c>
      <c r="F239">
        <v>0</v>
      </c>
      <c r="G239" t="s">
        <v>21</v>
      </c>
      <c r="H239" t="s">
        <v>28</v>
      </c>
      <c r="I239" t="s">
        <v>20</v>
      </c>
      <c r="J239">
        <v>1</v>
      </c>
      <c r="K239" t="s">
        <v>18</v>
      </c>
      <c r="L239" t="s">
        <v>27</v>
      </c>
      <c r="M239">
        <v>26</v>
      </c>
      <c r="N239" t="str">
        <f t="shared" si="3"/>
        <v>Young Adults</v>
      </c>
      <c r="O239" t="s">
        <v>17</v>
      </c>
    </row>
    <row r="240" spans="1:15">
      <c r="A240">
        <v>22006</v>
      </c>
      <c r="B240" t="s">
        <v>63</v>
      </c>
      <c r="C240" t="s">
        <v>49</v>
      </c>
      <c r="D240" s="1">
        <v>70000</v>
      </c>
      <c r="E240" t="str" cm="1">
        <f t="array" ref="E240">_xlfn.IFS(D240&lt;40000,"Low Income",D240&lt;=80000,"Moderate Income",D240&gt;80000,"High Income")</f>
        <v>Moderate Income</v>
      </c>
      <c r="F240">
        <v>5</v>
      </c>
      <c r="G240" t="s">
        <v>21</v>
      </c>
      <c r="H240" t="s">
        <v>16</v>
      </c>
      <c r="I240" t="s">
        <v>17</v>
      </c>
      <c r="J240">
        <v>3</v>
      </c>
      <c r="K240" t="s">
        <v>26</v>
      </c>
      <c r="L240" t="s">
        <v>27</v>
      </c>
      <c r="M240">
        <v>46</v>
      </c>
      <c r="N240" t="str">
        <f t="shared" si="3"/>
        <v>Middle-Aged</v>
      </c>
      <c r="O240" t="s">
        <v>20</v>
      </c>
    </row>
    <row r="241" spans="1:15">
      <c r="A241">
        <v>20060</v>
      </c>
      <c r="B241" t="s">
        <v>64</v>
      </c>
      <c r="C241" t="s">
        <v>47</v>
      </c>
      <c r="D241" s="1">
        <v>30000</v>
      </c>
      <c r="E241" t="str" cm="1">
        <f t="array" ref="E241">_xlfn.IFS(D241&lt;40000,"Low Income",D241&lt;=80000,"Moderate Income",D241&gt;80000,"High Income")</f>
        <v>Low Income</v>
      </c>
      <c r="F241">
        <v>0</v>
      </c>
      <c r="G241" t="s">
        <v>30</v>
      </c>
      <c r="H241" t="s">
        <v>28</v>
      </c>
      <c r="I241" t="s">
        <v>20</v>
      </c>
      <c r="J241">
        <v>1</v>
      </c>
      <c r="K241" t="s">
        <v>24</v>
      </c>
      <c r="L241" t="s">
        <v>19</v>
      </c>
      <c r="M241">
        <v>34</v>
      </c>
      <c r="N241" t="str">
        <f t="shared" si="3"/>
        <v>Middle-Aged</v>
      </c>
      <c r="O241" t="s">
        <v>17</v>
      </c>
    </row>
    <row r="242" spans="1:15">
      <c r="A242">
        <v>17702</v>
      </c>
      <c r="B242" t="s">
        <v>63</v>
      </c>
      <c r="C242" t="s">
        <v>49</v>
      </c>
      <c r="D242" s="1">
        <v>10000</v>
      </c>
      <c r="E242" t="str" cm="1">
        <f t="array" ref="E242">_xlfn.IFS(D242&lt;40000,"Low Income",D242&lt;=80000,"Moderate Income",D242&gt;80000,"High Income")</f>
        <v>Low Income</v>
      </c>
      <c r="F242">
        <v>1</v>
      </c>
      <c r="G242" t="s">
        <v>34</v>
      </c>
      <c r="H242" t="s">
        <v>28</v>
      </c>
      <c r="I242" t="s">
        <v>17</v>
      </c>
      <c r="J242">
        <v>0</v>
      </c>
      <c r="K242" t="s">
        <v>18</v>
      </c>
      <c r="L242" t="s">
        <v>19</v>
      </c>
      <c r="M242">
        <v>37</v>
      </c>
      <c r="N242" t="str">
        <f t="shared" si="3"/>
        <v>Middle-Aged</v>
      </c>
      <c r="O242" t="s">
        <v>20</v>
      </c>
    </row>
    <row r="243" spans="1:15">
      <c r="A243">
        <v>12503</v>
      </c>
      <c r="B243" t="s">
        <v>64</v>
      </c>
      <c r="C243" t="s">
        <v>47</v>
      </c>
      <c r="D243" s="1">
        <v>30000</v>
      </c>
      <c r="E243" t="str" cm="1">
        <f t="array" ref="E243">_xlfn.IFS(D243&lt;40000,"Low Income",D243&lt;=80000,"Moderate Income",D243&gt;80000,"High Income")</f>
        <v>Low Income</v>
      </c>
      <c r="F243">
        <v>3</v>
      </c>
      <c r="G243" t="s">
        <v>21</v>
      </c>
      <c r="H243" t="s">
        <v>22</v>
      </c>
      <c r="I243" t="s">
        <v>17</v>
      </c>
      <c r="J243">
        <v>2</v>
      </c>
      <c r="K243" t="s">
        <v>18</v>
      </c>
      <c r="L243" t="s">
        <v>19</v>
      </c>
      <c r="M243">
        <v>27</v>
      </c>
      <c r="N243" t="str">
        <f t="shared" si="3"/>
        <v>Young Adults</v>
      </c>
      <c r="O243" t="s">
        <v>20</v>
      </c>
    </row>
    <row r="244" spans="1:15">
      <c r="A244">
        <v>23908</v>
      </c>
      <c r="B244" t="s">
        <v>64</v>
      </c>
      <c r="C244" t="s">
        <v>49</v>
      </c>
      <c r="D244" s="1">
        <v>30000</v>
      </c>
      <c r="E244" t="str" cm="1">
        <f t="array" ref="E244">_xlfn.IFS(D244&lt;40000,"Low Income",D244&lt;=80000,"Moderate Income",D244&gt;80000,"High Income")</f>
        <v>Low Income</v>
      </c>
      <c r="F244">
        <v>1</v>
      </c>
      <c r="G244" t="s">
        <v>15</v>
      </c>
      <c r="H244" t="s">
        <v>22</v>
      </c>
      <c r="I244" t="s">
        <v>20</v>
      </c>
      <c r="J244">
        <v>1</v>
      </c>
      <c r="K244" t="s">
        <v>18</v>
      </c>
      <c r="L244" t="s">
        <v>19</v>
      </c>
      <c r="M244">
        <v>39</v>
      </c>
      <c r="N244" t="str">
        <f t="shared" si="3"/>
        <v>Middle-Aged</v>
      </c>
      <c r="O244" t="s">
        <v>17</v>
      </c>
    </row>
    <row r="245" spans="1:15">
      <c r="A245">
        <v>22527</v>
      </c>
      <c r="B245" t="s">
        <v>64</v>
      </c>
      <c r="C245" t="s">
        <v>47</v>
      </c>
      <c r="D245" s="1">
        <v>20000</v>
      </c>
      <c r="E245" t="str" cm="1">
        <f t="array" ref="E245">_xlfn.IFS(D245&lt;40000,"Low Income",D245&lt;=80000,"Moderate Income",D245&gt;80000,"High Income")</f>
        <v>Low Income</v>
      </c>
      <c r="F245">
        <v>0</v>
      </c>
      <c r="G245" t="s">
        <v>30</v>
      </c>
      <c r="H245" t="s">
        <v>28</v>
      </c>
      <c r="I245" t="s">
        <v>20</v>
      </c>
      <c r="J245">
        <v>1</v>
      </c>
      <c r="K245" t="s">
        <v>24</v>
      </c>
      <c r="L245" t="s">
        <v>19</v>
      </c>
      <c r="M245">
        <v>29</v>
      </c>
      <c r="N245" t="str">
        <f t="shared" si="3"/>
        <v>Young Adults</v>
      </c>
      <c r="O245" t="s">
        <v>20</v>
      </c>
    </row>
    <row r="246" spans="1:15">
      <c r="A246">
        <v>19057</v>
      </c>
      <c r="B246" t="s">
        <v>63</v>
      </c>
      <c r="C246" t="s">
        <v>47</v>
      </c>
      <c r="D246" s="1">
        <v>120000</v>
      </c>
      <c r="E246" t="str" cm="1">
        <f t="array" ref="E246">_xlfn.IFS(D246&lt;40000,"Low Income",D246&lt;=80000,"Moderate Income",D246&gt;80000,"High Income")</f>
        <v>High Income</v>
      </c>
      <c r="F246">
        <v>3</v>
      </c>
      <c r="G246" t="s">
        <v>15</v>
      </c>
      <c r="H246" t="s">
        <v>31</v>
      </c>
      <c r="I246" t="s">
        <v>20</v>
      </c>
      <c r="J246">
        <v>2</v>
      </c>
      <c r="K246" t="s">
        <v>61</v>
      </c>
      <c r="L246" t="s">
        <v>19</v>
      </c>
      <c r="M246">
        <v>52</v>
      </c>
      <c r="N246" t="str">
        <f t="shared" si="3"/>
        <v>Middle-Aged</v>
      </c>
      <c r="O246" t="s">
        <v>17</v>
      </c>
    </row>
    <row r="247" spans="1:15">
      <c r="A247">
        <v>18494</v>
      </c>
      <c r="B247" t="s">
        <v>63</v>
      </c>
      <c r="C247" t="s">
        <v>49</v>
      </c>
      <c r="D247" s="1">
        <v>110000</v>
      </c>
      <c r="E247" t="str" cm="1">
        <f t="array" ref="E247">_xlfn.IFS(D247&lt;40000,"Low Income",D247&lt;=80000,"Moderate Income",D247&gt;80000,"High Income")</f>
        <v>High Income</v>
      </c>
      <c r="F247">
        <v>5</v>
      </c>
      <c r="G247" t="s">
        <v>15</v>
      </c>
      <c r="H247" t="s">
        <v>31</v>
      </c>
      <c r="I247" t="s">
        <v>17</v>
      </c>
      <c r="J247">
        <v>4</v>
      </c>
      <c r="K247" t="s">
        <v>24</v>
      </c>
      <c r="L247" t="s">
        <v>27</v>
      </c>
      <c r="M247">
        <v>48</v>
      </c>
      <c r="N247" t="str">
        <f t="shared" si="3"/>
        <v>Middle-Aged</v>
      </c>
      <c r="O247" t="s">
        <v>17</v>
      </c>
    </row>
    <row r="248" spans="1:15">
      <c r="A248">
        <v>11249</v>
      </c>
      <c r="B248" t="s">
        <v>63</v>
      </c>
      <c r="C248" t="s">
        <v>47</v>
      </c>
      <c r="D248" s="1">
        <v>130000</v>
      </c>
      <c r="E248" t="str" cm="1">
        <f t="array" ref="E248">_xlfn.IFS(D248&lt;40000,"Low Income",D248&lt;=80000,"Moderate Income",D248&gt;80000,"High Income")</f>
        <v>High Income</v>
      </c>
      <c r="F248">
        <v>3</v>
      </c>
      <c r="G248" t="s">
        <v>21</v>
      </c>
      <c r="H248" t="s">
        <v>23</v>
      </c>
      <c r="I248" t="s">
        <v>17</v>
      </c>
      <c r="J248">
        <v>3</v>
      </c>
      <c r="K248" t="s">
        <v>18</v>
      </c>
      <c r="L248" t="s">
        <v>19</v>
      </c>
      <c r="M248">
        <v>51</v>
      </c>
      <c r="N248" t="str">
        <f t="shared" si="3"/>
        <v>Middle-Aged</v>
      </c>
      <c r="O248" t="s">
        <v>17</v>
      </c>
    </row>
    <row r="249" spans="1:15">
      <c r="A249">
        <v>21568</v>
      </c>
      <c r="B249" t="s">
        <v>63</v>
      </c>
      <c r="C249" t="s">
        <v>47</v>
      </c>
      <c r="D249" s="1">
        <v>100000</v>
      </c>
      <c r="E249" t="str" cm="1">
        <f t="array" ref="E249">_xlfn.IFS(D249&lt;40000,"Low Income",D249&lt;=80000,"Moderate Income",D249&gt;80000,"High Income")</f>
        <v>High Income</v>
      </c>
      <c r="F249">
        <v>0</v>
      </c>
      <c r="G249" t="s">
        <v>30</v>
      </c>
      <c r="H249" t="s">
        <v>31</v>
      </c>
      <c r="I249" t="s">
        <v>17</v>
      </c>
      <c r="J249">
        <v>4</v>
      </c>
      <c r="K249" t="s">
        <v>61</v>
      </c>
      <c r="L249" t="s">
        <v>27</v>
      </c>
      <c r="M249">
        <v>34</v>
      </c>
      <c r="N249" t="str">
        <f t="shared" si="3"/>
        <v>Middle-Aged</v>
      </c>
      <c r="O249" t="s">
        <v>17</v>
      </c>
    </row>
    <row r="250" spans="1:15">
      <c r="A250">
        <v>13981</v>
      </c>
      <c r="B250" t="s">
        <v>63</v>
      </c>
      <c r="C250" t="s">
        <v>47</v>
      </c>
      <c r="D250" s="1">
        <v>10000</v>
      </c>
      <c r="E250" t="str" cm="1">
        <f t="array" ref="E250">_xlfn.IFS(D250&lt;40000,"Low Income",D250&lt;=80000,"Moderate Income",D250&gt;80000,"High Income")</f>
        <v>Low Income</v>
      </c>
      <c r="F250">
        <v>5</v>
      </c>
      <c r="G250" t="s">
        <v>30</v>
      </c>
      <c r="H250" t="s">
        <v>16</v>
      </c>
      <c r="I250" t="s">
        <v>20</v>
      </c>
      <c r="J250">
        <v>3</v>
      </c>
      <c r="K250" t="s">
        <v>29</v>
      </c>
      <c r="L250" t="s">
        <v>27</v>
      </c>
      <c r="M250">
        <v>62</v>
      </c>
      <c r="N250" t="str">
        <f t="shared" si="3"/>
        <v>Seniors</v>
      </c>
      <c r="O250" t="s">
        <v>20</v>
      </c>
    </row>
    <row r="251" spans="1:15">
      <c r="A251">
        <v>23432</v>
      </c>
      <c r="B251" t="s">
        <v>64</v>
      </c>
      <c r="C251" t="s">
        <v>49</v>
      </c>
      <c r="D251" s="1">
        <v>70000</v>
      </c>
      <c r="E251" t="str" cm="1">
        <f t="array" ref="E251">_xlfn.IFS(D251&lt;40000,"Low Income",D251&lt;=80000,"Moderate Income",D251&gt;80000,"High Income")</f>
        <v>Moderate Income</v>
      </c>
      <c r="F251">
        <v>0</v>
      </c>
      <c r="G251" t="s">
        <v>15</v>
      </c>
      <c r="H251" t="s">
        <v>23</v>
      </c>
      <c r="I251" t="s">
        <v>17</v>
      </c>
      <c r="J251">
        <v>1</v>
      </c>
      <c r="K251" t="s">
        <v>26</v>
      </c>
      <c r="L251" t="s">
        <v>27</v>
      </c>
      <c r="M251">
        <v>37</v>
      </c>
      <c r="N251" t="str">
        <f t="shared" si="3"/>
        <v>Middle-Aged</v>
      </c>
      <c r="O251" t="s">
        <v>17</v>
      </c>
    </row>
    <row r="252" spans="1:15">
      <c r="A252">
        <v>22931</v>
      </c>
      <c r="B252" t="s">
        <v>63</v>
      </c>
      <c r="C252" t="s">
        <v>49</v>
      </c>
      <c r="D252" s="1">
        <v>100000</v>
      </c>
      <c r="E252" t="str" cm="1">
        <f t="array" ref="E252">_xlfn.IFS(D252&lt;40000,"Low Income",D252&lt;=80000,"Moderate Income",D252&gt;80000,"High Income")</f>
        <v>High Income</v>
      </c>
      <c r="F252">
        <v>5</v>
      </c>
      <c r="G252" t="s">
        <v>34</v>
      </c>
      <c r="H252" t="s">
        <v>31</v>
      </c>
      <c r="I252" t="s">
        <v>20</v>
      </c>
      <c r="J252">
        <v>1</v>
      </c>
      <c r="K252" t="s">
        <v>29</v>
      </c>
      <c r="L252" t="s">
        <v>27</v>
      </c>
      <c r="M252">
        <v>78</v>
      </c>
      <c r="N252" t="str">
        <f t="shared" si="3"/>
        <v>Seniors</v>
      </c>
      <c r="O252" t="s">
        <v>17</v>
      </c>
    </row>
    <row r="253" spans="1:15">
      <c r="A253">
        <v>18172</v>
      </c>
      <c r="B253" t="s">
        <v>63</v>
      </c>
      <c r="C253" t="s">
        <v>49</v>
      </c>
      <c r="D253" s="1">
        <v>130000</v>
      </c>
      <c r="E253" t="str" cm="1">
        <f t="array" ref="E253">_xlfn.IFS(D253&lt;40000,"Low Income",D253&lt;=80000,"Moderate Income",D253&gt;80000,"High Income")</f>
        <v>High Income</v>
      </c>
      <c r="F253">
        <v>4</v>
      </c>
      <c r="G253" t="s">
        <v>30</v>
      </c>
      <c r="H253" t="s">
        <v>23</v>
      </c>
      <c r="I253" t="s">
        <v>17</v>
      </c>
      <c r="J253">
        <v>3</v>
      </c>
      <c r="K253" t="s">
        <v>18</v>
      </c>
      <c r="L253" t="s">
        <v>19</v>
      </c>
      <c r="M253">
        <v>55</v>
      </c>
      <c r="N253" t="str">
        <f t="shared" si="3"/>
        <v>Middle-Aged</v>
      </c>
      <c r="O253" t="s">
        <v>20</v>
      </c>
    </row>
    <row r="254" spans="1:15">
      <c r="A254">
        <v>12666</v>
      </c>
      <c r="B254" t="s">
        <v>64</v>
      </c>
      <c r="C254" t="s">
        <v>49</v>
      </c>
      <c r="D254" s="1">
        <v>60000</v>
      </c>
      <c r="E254" t="str" cm="1">
        <f t="array" ref="E254">_xlfn.IFS(D254&lt;40000,"Low Income",D254&lt;=80000,"Moderate Income",D254&gt;80000,"High Income")</f>
        <v>Moderate Income</v>
      </c>
      <c r="F254">
        <v>0</v>
      </c>
      <c r="G254" t="s">
        <v>15</v>
      </c>
      <c r="H254" t="s">
        <v>23</v>
      </c>
      <c r="I254" t="s">
        <v>20</v>
      </c>
      <c r="J254">
        <v>4</v>
      </c>
      <c r="K254" t="s">
        <v>24</v>
      </c>
      <c r="L254" t="s">
        <v>27</v>
      </c>
      <c r="M254">
        <v>31</v>
      </c>
      <c r="N254" t="str">
        <f t="shared" si="3"/>
        <v>Middle-Aged</v>
      </c>
      <c r="O254" t="s">
        <v>20</v>
      </c>
    </row>
    <row r="255" spans="1:15">
      <c r="A255">
        <v>20598</v>
      </c>
      <c r="B255" t="s">
        <v>63</v>
      </c>
      <c r="C255" t="s">
        <v>49</v>
      </c>
      <c r="D255" s="1">
        <v>100000</v>
      </c>
      <c r="E255" t="str" cm="1">
        <f t="array" ref="E255">_xlfn.IFS(D255&lt;40000,"Low Income",D255&lt;=80000,"Moderate Income",D255&gt;80000,"High Income")</f>
        <v>High Income</v>
      </c>
      <c r="F255">
        <v>3</v>
      </c>
      <c r="G255" t="s">
        <v>32</v>
      </c>
      <c r="H255" t="s">
        <v>23</v>
      </c>
      <c r="I255" t="s">
        <v>17</v>
      </c>
      <c r="J255">
        <v>0</v>
      </c>
      <c r="K255" t="s">
        <v>61</v>
      </c>
      <c r="L255" t="s">
        <v>19</v>
      </c>
      <c r="M255">
        <v>59</v>
      </c>
      <c r="N255" t="str">
        <f t="shared" si="3"/>
        <v>Middle-Aged</v>
      </c>
      <c r="O255" t="s">
        <v>17</v>
      </c>
    </row>
    <row r="256" spans="1:15">
      <c r="A256">
        <v>21375</v>
      </c>
      <c r="B256" t="s">
        <v>64</v>
      </c>
      <c r="C256" t="s">
        <v>49</v>
      </c>
      <c r="D256" s="1">
        <v>20000</v>
      </c>
      <c r="E256" t="str" cm="1">
        <f t="array" ref="E256">_xlfn.IFS(D256&lt;40000,"Low Income",D256&lt;=80000,"Moderate Income",D256&gt;80000,"High Income")</f>
        <v>Low Income</v>
      </c>
      <c r="F256">
        <v>2</v>
      </c>
      <c r="G256" t="s">
        <v>32</v>
      </c>
      <c r="H256" t="s">
        <v>22</v>
      </c>
      <c r="I256" t="s">
        <v>17</v>
      </c>
      <c r="J256">
        <v>2</v>
      </c>
      <c r="K256" t="s">
        <v>26</v>
      </c>
      <c r="L256" t="s">
        <v>27</v>
      </c>
      <c r="M256">
        <v>57</v>
      </c>
      <c r="N256" t="str">
        <f t="shared" si="3"/>
        <v>Middle-Aged</v>
      </c>
      <c r="O256" t="s">
        <v>20</v>
      </c>
    </row>
    <row r="257" spans="1:15">
      <c r="A257">
        <v>20839</v>
      </c>
      <c r="B257" t="s">
        <v>64</v>
      </c>
      <c r="C257" t="s">
        <v>47</v>
      </c>
      <c r="D257" s="1">
        <v>30000</v>
      </c>
      <c r="E257" t="str" cm="1">
        <f t="array" ref="E257">_xlfn.IFS(D257&lt;40000,"Low Income",D257&lt;=80000,"Moderate Income",D257&gt;80000,"High Income")</f>
        <v>Low Income</v>
      </c>
      <c r="F257">
        <v>3</v>
      </c>
      <c r="G257" t="s">
        <v>34</v>
      </c>
      <c r="H257" t="s">
        <v>22</v>
      </c>
      <c r="I257" t="s">
        <v>17</v>
      </c>
      <c r="J257">
        <v>0</v>
      </c>
      <c r="K257" t="s">
        <v>18</v>
      </c>
      <c r="L257" t="s">
        <v>19</v>
      </c>
      <c r="M257">
        <v>47</v>
      </c>
      <c r="N257" t="str">
        <f t="shared" si="3"/>
        <v>Middle-Aged</v>
      </c>
      <c r="O257" t="s">
        <v>17</v>
      </c>
    </row>
    <row r="258" spans="1:15">
      <c r="A258">
        <v>21738</v>
      </c>
      <c r="B258" t="s">
        <v>63</v>
      </c>
      <c r="C258" t="s">
        <v>49</v>
      </c>
      <c r="D258" s="1">
        <v>20000</v>
      </c>
      <c r="E258" t="str" cm="1">
        <f t="array" ref="E258">_xlfn.IFS(D258&lt;40000,"Low Income",D258&lt;=80000,"Moderate Income",D258&gt;80000,"High Income")</f>
        <v>Low Income</v>
      </c>
      <c r="F258">
        <v>1</v>
      </c>
      <c r="G258" t="s">
        <v>34</v>
      </c>
      <c r="H258" t="s">
        <v>22</v>
      </c>
      <c r="I258" t="s">
        <v>17</v>
      </c>
      <c r="J258">
        <v>0</v>
      </c>
      <c r="K258" t="s">
        <v>18</v>
      </c>
      <c r="L258" t="s">
        <v>19</v>
      </c>
      <c r="M258">
        <v>43</v>
      </c>
      <c r="N258" t="str">
        <f t="shared" si="3"/>
        <v>Middle-Aged</v>
      </c>
      <c r="O258" t="s">
        <v>20</v>
      </c>
    </row>
    <row r="259" spans="1:15">
      <c r="A259">
        <v>14164</v>
      </c>
      <c r="B259" t="s">
        <v>64</v>
      </c>
      <c r="C259" t="s">
        <v>47</v>
      </c>
      <c r="D259" s="1">
        <v>50000</v>
      </c>
      <c r="E259" t="str" cm="1">
        <f t="array" ref="E259">_xlfn.IFS(D259&lt;40000,"Low Income",D259&lt;=80000,"Moderate Income",D259&gt;80000,"High Income")</f>
        <v>Moderate Income</v>
      </c>
      <c r="F259">
        <v>0</v>
      </c>
      <c r="G259" t="s">
        <v>34</v>
      </c>
      <c r="H259" t="s">
        <v>16</v>
      </c>
      <c r="I259" t="s">
        <v>17</v>
      </c>
      <c r="J259">
        <v>0</v>
      </c>
      <c r="K259" t="s">
        <v>18</v>
      </c>
      <c r="L259" t="s">
        <v>19</v>
      </c>
      <c r="M259">
        <v>36</v>
      </c>
      <c r="N259" t="str">
        <f t="shared" ref="N259:N322" si="4">IF(M259&gt;=60,"Seniors",IF(M259&gt;30,"Middle-Aged",IF(M259&lt;=30,"Young Adults")))</f>
        <v>Middle-Aged</v>
      </c>
      <c r="O259" t="s">
        <v>17</v>
      </c>
    </row>
    <row r="260" spans="1:15">
      <c r="A260">
        <v>14193</v>
      </c>
      <c r="B260" t="s">
        <v>64</v>
      </c>
      <c r="C260" t="s">
        <v>47</v>
      </c>
      <c r="D260" s="1">
        <v>100000</v>
      </c>
      <c r="E260" t="str" cm="1">
        <f t="array" ref="E260">_xlfn.IFS(D260&lt;40000,"Low Income",D260&lt;=80000,"Moderate Income",D260&gt;80000,"High Income")</f>
        <v>High Income</v>
      </c>
      <c r="F260">
        <v>3</v>
      </c>
      <c r="G260" t="s">
        <v>21</v>
      </c>
      <c r="H260" t="s">
        <v>31</v>
      </c>
      <c r="I260" t="s">
        <v>17</v>
      </c>
      <c r="J260">
        <v>4</v>
      </c>
      <c r="K260" t="s">
        <v>61</v>
      </c>
      <c r="L260" t="s">
        <v>19</v>
      </c>
      <c r="M260">
        <v>56</v>
      </c>
      <c r="N260" t="str">
        <f t="shared" si="4"/>
        <v>Middle-Aged</v>
      </c>
      <c r="O260" t="s">
        <v>20</v>
      </c>
    </row>
    <row r="261" spans="1:15">
      <c r="A261">
        <v>12705</v>
      </c>
      <c r="B261" t="s">
        <v>63</v>
      </c>
      <c r="C261" t="s">
        <v>49</v>
      </c>
      <c r="D261" s="1">
        <v>150000</v>
      </c>
      <c r="E261" t="str" cm="1">
        <f t="array" ref="E261">_xlfn.IFS(D261&lt;40000,"Low Income",D261&lt;=80000,"Moderate Income",D261&gt;80000,"High Income")</f>
        <v>High Income</v>
      </c>
      <c r="F261">
        <v>0</v>
      </c>
      <c r="G261" t="s">
        <v>15</v>
      </c>
      <c r="H261" t="s">
        <v>31</v>
      </c>
      <c r="I261" t="s">
        <v>17</v>
      </c>
      <c r="J261">
        <v>4</v>
      </c>
      <c r="K261" t="s">
        <v>18</v>
      </c>
      <c r="L261" t="s">
        <v>27</v>
      </c>
      <c r="M261">
        <v>37</v>
      </c>
      <c r="N261" t="str">
        <f t="shared" si="4"/>
        <v>Middle-Aged</v>
      </c>
      <c r="O261" t="s">
        <v>17</v>
      </c>
    </row>
    <row r="262" spans="1:15">
      <c r="A262">
        <v>22672</v>
      </c>
      <c r="B262" t="s">
        <v>64</v>
      </c>
      <c r="C262" t="s">
        <v>47</v>
      </c>
      <c r="D262" s="1">
        <v>30000</v>
      </c>
      <c r="E262" t="str" cm="1">
        <f t="array" ref="E262">_xlfn.IFS(D262&lt;40000,"Low Income",D262&lt;=80000,"Moderate Income",D262&gt;80000,"High Income")</f>
        <v>Low Income</v>
      </c>
      <c r="F262">
        <v>2</v>
      </c>
      <c r="G262" t="s">
        <v>21</v>
      </c>
      <c r="H262" t="s">
        <v>22</v>
      </c>
      <c r="I262" t="s">
        <v>17</v>
      </c>
      <c r="J262">
        <v>0</v>
      </c>
      <c r="K262" t="s">
        <v>18</v>
      </c>
      <c r="L262" t="s">
        <v>19</v>
      </c>
      <c r="M262">
        <v>43</v>
      </c>
      <c r="N262" t="str">
        <f t="shared" si="4"/>
        <v>Middle-Aged</v>
      </c>
      <c r="O262" t="s">
        <v>20</v>
      </c>
    </row>
    <row r="263" spans="1:15">
      <c r="A263">
        <v>26219</v>
      </c>
      <c r="B263" t="s">
        <v>63</v>
      </c>
      <c r="C263" t="s">
        <v>47</v>
      </c>
      <c r="D263" s="1">
        <v>40000</v>
      </c>
      <c r="E263" t="str" cm="1">
        <f t="array" ref="E263">_xlfn.IFS(D263&lt;40000,"Low Income",D263&lt;=80000,"Moderate Income",D263&gt;80000,"High Income")</f>
        <v>Moderate Income</v>
      </c>
      <c r="F263">
        <v>1</v>
      </c>
      <c r="G263" t="s">
        <v>15</v>
      </c>
      <c r="H263" t="s">
        <v>16</v>
      </c>
      <c r="I263" t="s">
        <v>17</v>
      </c>
      <c r="J263">
        <v>1</v>
      </c>
      <c r="K263" t="s">
        <v>29</v>
      </c>
      <c r="L263" t="s">
        <v>19</v>
      </c>
      <c r="M263">
        <v>33</v>
      </c>
      <c r="N263" t="str">
        <f t="shared" si="4"/>
        <v>Middle-Aged</v>
      </c>
      <c r="O263" t="s">
        <v>17</v>
      </c>
    </row>
    <row r="264" spans="1:15">
      <c r="A264">
        <v>28468</v>
      </c>
      <c r="B264" t="s">
        <v>63</v>
      </c>
      <c r="C264" t="s">
        <v>47</v>
      </c>
      <c r="D264" s="1">
        <v>10000</v>
      </c>
      <c r="E264" t="str" cm="1">
        <f t="array" ref="E264">_xlfn.IFS(D264&lt;40000,"Low Income",D264&lt;=80000,"Moderate Income",D264&gt;80000,"High Income")</f>
        <v>Low Income</v>
      </c>
      <c r="F264">
        <v>2</v>
      </c>
      <c r="G264" t="s">
        <v>21</v>
      </c>
      <c r="H264" t="s">
        <v>28</v>
      </c>
      <c r="I264" t="s">
        <v>17</v>
      </c>
      <c r="J264">
        <v>0</v>
      </c>
      <c r="K264" t="s">
        <v>29</v>
      </c>
      <c r="L264" t="s">
        <v>19</v>
      </c>
      <c r="M264">
        <v>51</v>
      </c>
      <c r="N264" t="str">
        <f t="shared" si="4"/>
        <v>Middle-Aged</v>
      </c>
      <c r="O264" t="s">
        <v>20</v>
      </c>
    </row>
    <row r="265" spans="1:15">
      <c r="A265">
        <v>23419</v>
      </c>
      <c r="B265" t="s">
        <v>64</v>
      </c>
      <c r="C265" t="s">
        <v>47</v>
      </c>
      <c r="D265" s="1">
        <v>70000</v>
      </c>
      <c r="E265" t="str" cm="1">
        <f t="array" ref="E265">_xlfn.IFS(D265&lt;40000,"Low Income",D265&lt;=80000,"Moderate Income",D265&gt;80000,"High Income")</f>
        <v>Moderate Income</v>
      </c>
      <c r="F265">
        <v>5</v>
      </c>
      <c r="G265" t="s">
        <v>15</v>
      </c>
      <c r="H265" t="s">
        <v>23</v>
      </c>
      <c r="I265" t="s">
        <v>17</v>
      </c>
      <c r="J265">
        <v>3</v>
      </c>
      <c r="K265" t="s">
        <v>61</v>
      </c>
      <c r="L265" t="s">
        <v>27</v>
      </c>
      <c r="M265">
        <v>39</v>
      </c>
      <c r="N265" t="str">
        <f t="shared" si="4"/>
        <v>Middle-Aged</v>
      </c>
      <c r="O265" t="s">
        <v>20</v>
      </c>
    </row>
    <row r="266" spans="1:15">
      <c r="A266">
        <v>17964</v>
      </c>
      <c r="B266" t="s">
        <v>63</v>
      </c>
      <c r="C266" t="s">
        <v>49</v>
      </c>
      <c r="D266" s="1">
        <v>40000</v>
      </c>
      <c r="E266" t="str" cm="1">
        <f t="array" ref="E266">_xlfn.IFS(D266&lt;40000,"Low Income",D266&lt;=80000,"Moderate Income",D266&gt;80000,"High Income")</f>
        <v>Moderate Income</v>
      </c>
      <c r="F266">
        <v>0</v>
      </c>
      <c r="G266" t="s">
        <v>34</v>
      </c>
      <c r="H266" t="s">
        <v>22</v>
      </c>
      <c r="I266" t="s">
        <v>17</v>
      </c>
      <c r="J266">
        <v>0</v>
      </c>
      <c r="K266" t="s">
        <v>18</v>
      </c>
      <c r="L266" t="s">
        <v>19</v>
      </c>
      <c r="M266">
        <v>37</v>
      </c>
      <c r="N266" t="str">
        <f t="shared" si="4"/>
        <v>Middle-Aged</v>
      </c>
      <c r="O266" t="s">
        <v>17</v>
      </c>
    </row>
    <row r="267" spans="1:15">
      <c r="A267">
        <v>20919</v>
      </c>
      <c r="B267" t="s">
        <v>64</v>
      </c>
      <c r="C267" t="s">
        <v>47</v>
      </c>
      <c r="D267" s="1">
        <v>30000</v>
      </c>
      <c r="E267" t="str" cm="1">
        <f t="array" ref="E267">_xlfn.IFS(D267&lt;40000,"Low Income",D267&lt;=80000,"Moderate Income",D267&gt;80000,"High Income")</f>
        <v>Low Income</v>
      </c>
      <c r="F267">
        <v>2</v>
      </c>
      <c r="G267" t="s">
        <v>21</v>
      </c>
      <c r="H267" t="s">
        <v>22</v>
      </c>
      <c r="I267" t="s">
        <v>17</v>
      </c>
      <c r="J267">
        <v>2</v>
      </c>
      <c r="K267" t="s">
        <v>18</v>
      </c>
      <c r="L267" t="s">
        <v>19</v>
      </c>
      <c r="M267">
        <v>42</v>
      </c>
      <c r="N267" t="str">
        <f t="shared" si="4"/>
        <v>Middle-Aged</v>
      </c>
      <c r="O267" t="s">
        <v>20</v>
      </c>
    </row>
    <row r="268" spans="1:15">
      <c r="A268">
        <v>20927</v>
      </c>
      <c r="B268" t="s">
        <v>64</v>
      </c>
      <c r="C268" t="s">
        <v>47</v>
      </c>
      <c r="D268" s="1">
        <v>20000</v>
      </c>
      <c r="E268" t="str" cm="1">
        <f t="array" ref="E268">_xlfn.IFS(D268&lt;40000,"Low Income",D268&lt;=80000,"Moderate Income",D268&gt;80000,"High Income")</f>
        <v>Low Income</v>
      </c>
      <c r="F268">
        <v>5</v>
      </c>
      <c r="G268" t="s">
        <v>30</v>
      </c>
      <c r="H268" t="s">
        <v>28</v>
      </c>
      <c r="I268" t="s">
        <v>17</v>
      </c>
      <c r="J268">
        <v>2</v>
      </c>
      <c r="K268" t="s">
        <v>18</v>
      </c>
      <c r="L268" t="s">
        <v>19</v>
      </c>
      <c r="M268">
        <v>27</v>
      </c>
      <c r="N268" t="str">
        <f t="shared" si="4"/>
        <v>Young Adults</v>
      </c>
      <c r="O268" t="s">
        <v>20</v>
      </c>
    </row>
    <row r="269" spans="1:15">
      <c r="A269">
        <v>13133</v>
      </c>
      <c r="B269" t="s">
        <v>64</v>
      </c>
      <c r="C269" t="s">
        <v>49</v>
      </c>
      <c r="D269" s="1">
        <v>100000</v>
      </c>
      <c r="E269" t="str" cm="1">
        <f t="array" ref="E269">_xlfn.IFS(D269&lt;40000,"Low Income",D269&lt;=80000,"Moderate Income",D269&gt;80000,"High Income")</f>
        <v>High Income</v>
      </c>
      <c r="F269">
        <v>5</v>
      </c>
      <c r="G269" t="s">
        <v>15</v>
      </c>
      <c r="H269" t="s">
        <v>23</v>
      </c>
      <c r="I269" t="s">
        <v>17</v>
      </c>
      <c r="J269">
        <v>1</v>
      </c>
      <c r="K269" t="s">
        <v>26</v>
      </c>
      <c r="L269" t="s">
        <v>27</v>
      </c>
      <c r="M269">
        <v>47</v>
      </c>
      <c r="N269" t="str">
        <f t="shared" si="4"/>
        <v>Middle-Aged</v>
      </c>
      <c r="O269" t="s">
        <v>17</v>
      </c>
    </row>
    <row r="270" spans="1:15">
      <c r="A270">
        <v>19626</v>
      </c>
      <c r="B270" t="s">
        <v>63</v>
      </c>
      <c r="C270" t="s">
        <v>49</v>
      </c>
      <c r="D270" s="1">
        <v>70000</v>
      </c>
      <c r="E270" t="str" cm="1">
        <f t="array" ref="E270">_xlfn.IFS(D270&lt;40000,"Low Income",D270&lt;=80000,"Moderate Income",D270&gt;80000,"High Income")</f>
        <v>Moderate Income</v>
      </c>
      <c r="F270">
        <v>5</v>
      </c>
      <c r="G270" t="s">
        <v>21</v>
      </c>
      <c r="H270" t="s">
        <v>16</v>
      </c>
      <c r="I270" t="s">
        <v>17</v>
      </c>
      <c r="J270">
        <v>3</v>
      </c>
      <c r="K270" t="s">
        <v>26</v>
      </c>
      <c r="L270" t="s">
        <v>27</v>
      </c>
      <c r="M270">
        <v>45</v>
      </c>
      <c r="N270" t="str">
        <f t="shared" si="4"/>
        <v>Middle-Aged</v>
      </c>
      <c r="O270" t="s">
        <v>20</v>
      </c>
    </row>
    <row r="271" spans="1:15">
      <c r="A271">
        <v>21039</v>
      </c>
      <c r="B271" t="s">
        <v>64</v>
      </c>
      <c r="C271" t="s">
        <v>47</v>
      </c>
      <c r="D271" s="1">
        <v>50000</v>
      </c>
      <c r="E271" t="str" cm="1">
        <f t="array" ref="E271">_xlfn.IFS(D271&lt;40000,"Low Income",D271&lt;=80000,"Moderate Income",D271&gt;80000,"High Income")</f>
        <v>Moderate Income</v>
      </c>
      <c r="F271">
        <v>0</v>
      </c>
      <c r="G271" t="s">
        <v>34</v>
      </c>
      <c r="H271" t="s">
        <v>16</v>
      </c>
      <c r="I271" t="s">
        <v>20</v>
      </c>
      <c r="J271">
        <v>0</v>
      </c>
      <c r="K271" t="s">
        <v>18</v>
      </c>
      <c r="L271" t="s">
        <v>19</v>
      </c>
      <c r="M271">
        <v>37</v>
      </c>
      <c r="N271" t="str">
        <f t="shared" si="4"/>
        <v>Middle-Aged</v>
      </c>
      <c r="O271" t="s">
        <v>17</v>
      </c>
    </row>
    <row r="272" spans="1:15">
      <c r="A272">
        <v>12231</v>
      </c>
      <c r="B272" t="s">
        <v>64</v>
      </c>
      <c r="C272" t="s">
        <v>47</v>
      </c>
      <c r="D272" s="1">
        <v>10000</v>
      </c>
      <c r="E272" t="str" cm="1">
        <f t="array" ref="E272">_xlfn.IFS(D272&lt;40000,"Low Income",D272&lt;=80000,"Moderate Income",D272&gt;80000,"High Income")</f>
        <v>Low Income</v>
      </c>
      <c r="F272">
        <v>2</v>
      </c>
      <c r="G272" t="s">
        <v>21</v>
      </c>
      <c r="H272" t="s">
        <v>28</v>
      </c>
      <c r="I272" t="s">
        <v>17</v>
      </c>
      <c r="J272">
        <v>0</v>
      </c>
      <c r="K272" t="s">
        <v>18</v>
      </c>
      <c r="L272" t="s">
        <v>19</v>
      </c>
      <c r="M272">
        <v>51</v>
      </c>
      <c r="N272" t="str">
        <f t="shared" si="4"/>
        <v>Middle-Aged</v>
      </c>
      <c r="O272" t="s">
        <v>17</v>
      </c>
    </row>
    <row r="273" spans="1:15">
      <c r="A273">
        <v>25665</v>
      </c>
      <c r="B273" t="s">
        <v>64</v>
      </c>
      <c r="C273" t="s">
        <v>47</v>
      </c>
      <c r="D273" s="1">
        <v>20000</v>
      </c>
      <c r="E273" t="str" cm="1">
        <f t="array" ref="E273">_xlfn.IFS(D273&lt;40000,"Low Income",D273&lt;=80000,"Moderate Income",D273&gt;80000,"High Income")</f>
        <v>Low Income</v>
      </c>
      <c r="F273">
        <v>0</v>
      </c>
      <c r="G273" t="s">
        <v>30</v>
      </c>
      <c r="H273" t="s">
        <v>28</v>
      </c>
      <c r="I273" t="s">
        <v>20</v>
      </c>
      <c r="J273">
        <v>1</v>
      </c>
      <c r="K273" t="s">
        <v>29</v>
      </c>
      <c r="L273" t="s">
        <v>19</v>
      </c>
      <c r="M273">
        <v>28</v>
      </c>
      <c r="N273" t="str">
        <f t="shared" si="4"/>
        <v>Young Adults</v>
      </c>
      <c r="O273" t="s">
        <v>20</v>
      </c>
    </row>
    <row r="274" spans="1:15">
      <c r="A274">
        <v>24061</v>
      </c>
      <c r="B274" t="s">
        <v>63</v>
      </c>
      <c r="C274" t="s">
        <v>49</v>
      </c>
      <c r="D274" s="1">
        <v>10000</v>
      </c>
      <c r="E274" t="str" cm="1">
        <f t="array" ref="E274">_xlfn.IFS(D274&lt;40000,"Low Income",D274&lt;=80000,"Moderate Income",D274&gt;80000,"High Income")</f>
        <v>Low Income</v>
      </c>
      <c r="F274">
        <v>4</v>
      </c>
      <c r="G274" t="s">
        <v>32</v>
      </c>
      <c r="H274" t="s">
        <v>28</v>
      </c>
      <c r="I274" t="s">
        <v>17</v>
      </c>
      <c r="J274">
        <v>1</v>
      </c>
      <c r="K274" t="s">
        <v>18</v>
      </c>
      <c r="L274" t="s">
        <v>19</v>
      </c>
      <c r="M274">
        <v>40</v>
      </c>
      <c r="N274" t="str">
        <f t="shared" si="4"/>
        <v>Middle-Aged</v>
      </c>
      <c r="O274" t="s">
        <v>17</v>
      </c>
    </row>
    <row r="275" spans="1:15">
      <c r="A275">
        <v>26879</v>
      </c>
      <c r="B275" t="s">
        <v>64</v>
      </c>
      <c r="C275" t="s">
        <v>47</v>
      </c>
      <c r="D275" s="1">
        <v>20000</v>
      </c>
      <c r="E275" t="str" cm="1">
        <f t="array" ref="E275">_xlfn.IFS(D275&lt;40000,"Low Income",D275&lt;=80000,"Moderate Income",D275&gt;80000,"High Income")</f>
        <v>Low Income</v>
      </c>
      <c r="F275">
        <v>0</v>
      </c>
      <c r="G275" t="s">
        <v>30</v>
      </c>
      <c r="H275" t="s">
        <v>28</v>
      </c>
      <c r="I275" t="s">
        <v>20</v>
      </c>
      <c r="J275">
        <v>1</v>
      </c>
      <c r="K275" t="s">
        <v>24</v>
      </c>
      <c r="L275" t="s">
        <v>19</v>
      </c>
      <c r="M275">
        <v>30</v>
      </c>
      <c r="N275" t="str">
        <f t="shared" si="4"/>
        <v>Young Adults</v>
      </c>
      <c r="O275" t="s">
        <v>20</v>
      </c>
    </row>
    <row r="276" spans="1:15">
      <c r="A276">
        <v>12284</v>
      </c>
      <c r="B276" t="s">
        <v>63</v>
      </c>
      <c r="C276" t="s">
        <v>47</v>
      </c>
      <c r="D276" s="1">
        <v>30000</v>
      </c>
      <c r="E276" t="str" cm="1">
        <f t="array" ref="E276">_xlfn.IFS(D276&lt;40000,"Low Income",D276&lt;=80000,"Moderate Income",D276&gt;80000,"High Income")</f>
        <v>Low Income</v>
      </c>
      <c r="F276">
        <v>0</v>
      </c>
      <c r="G276" t="s">
        <v>15</v>
      </c>
      <c r="H276" t="s">
        <v>22</v>
      </c>
      <c r="I276" t="s">
        <v>20</v>
      </c>
      <c r="J276">
        <v>0</v>
      </c>
      <c r="K276" t="s">
        <v>18</v>
      </c>
      <c r="L276" t="s">
        <v>19</v>
      </c>
      <c r="M276">
        <v>36</v>
      </c>
      <c r="N276" t="str">
        <f t="shared" si="4"/>
        <v>Middle-Aged</v>
      </c>
      <c r="O276" t="s">
        <v>17</v>
      </c>
    </row>
    <row r="277" spans="1:15">
      <c r="A277">
        <v>26654</v>
      </c>
      <c r="B277" t="s">
        <v>63</v>
      </c>
      <c r="C277" t="s">
        <v>47</v>
      </c>
      <c r="D277" s="1">
        <v>90000</v>
      </c>
      <c r="E277" t="str" cm="1">
        <f t="array" ref="E277">_xlfn.IFS(D277&lt;40000,"Low Income",D277&lt;=80000,"Moderate Income",D277&gt;80000,"High Income")</f>
        <v>High Income</v>
      </c>
      <c r="F277">
        <v>1</v>
      </c>
      <c r="G277" t="s">
        <v>34</v>
      </c>
      <c r="H277" t="s">
        <v>31</v>
      </c>
      <c r="I277" t="s">
        <v>17</v>
      </c>
      <c r="J277">
        <v>0</v>
      </c>
      <c r="K277" t="s">
        <v>18</v>
      </c>
      <c r="L277" t="s">
        <v>27</v>
      </c>
      <c r="M277">
        <v>37</v>
      </c>
      <c r="N277" t="str">
        <f t="shared" si="4"/>
        <v>Middle-Aged</v>
      </c>
      <c r="O277" t="s">
        <v>17</v>
      </c>
    </row>
    <row r="278" spans="1:15">
      <c r="A278">
        <v>14545</v>
      </c>
      <c r="B278" t="s">
        <v>63</v>
      </c>
      <c r="C278" t="s">
        <v>47</v>
      </c>
      <c r="D278" s="1">
        <v>10000</v>
      </c>
      <c r="E278" t="str" cm="1">
        <f t="array" ref="E278">_xlfn.IFS(D278&lt;40000,"Low Income",D278&lt;=80000,"Moderate Income",D278&gt;80000,"High Income")</f>
        <v>Low Income</v>
      </c>
      <c r="F278">
        <v>2</v>
      </c>
      <c r="G278" t="s">
        <v>21</v>
      </c>
      <c r="H278" t="s">
        <v>28</v>
      </c>
      <c r="I278" t="s">
        <v>17</v>
      </c>
      <c r="J278">
        <v>0</v>
      </c>
      <c r="K278" t="s">
        <v>29</v>
      </c>
      <c r="L278" t="s">
        <v>19</v>
      </c>
      <c r="M278">
        <v>49</v>
      </c>
      <c r="N278" t="str">
        <f t="shared" si="4"/>
        <v>Middle-Aged</v>
      </c>
      <c r="O278" t="s">
        <v>20</v>
      </c>
    </row>
    <row r="279" spans="1:15">
      <c r="A279">
        <v>24201</v>
      </c>
      <c r="B279" t="s">
        <v>63</v>
      </c>
      <c r="C279" t="s">
        <v>47</v>
      </c>
      <c r="D279" s="1">
        <v>10000</v>
      </c>
      <c r="E279" t="str" cm="1">
        <f t="array" ref="E279">_xlfn.IFS(D279&lt;40000,"Low Income",D279&lt;=80000,"Moderate Income",D279&gt;80000,"High Income")</f>
        <v>Low Income</v>
      </c>
      <c r="F279">
        <v>2</v>
      </c>
      <c r="G279" t="s">
        <v>30</v>
      </c>
      <c r="H279" t="s">
        <v>28</v>
      </c>
      <c r="I279" t="s">
        <v>17</v>
      </c>
      <c r="J279">
        <v>0</v>
      </c>
      <c r="K279" t="s">
        <v>18</v>
      </c>
      <c r="L279" t="s">
        <v>19</v>
      </c>
      <c r="M279">
        <v>37</v>
      </c>
      <c r="N279" t="str">
        <f t="shared" si="4"/>
        <v>Middle-Aged</v>
      </c>
      <c r="O279" t="s">
        <v>17</v>
      </c>
    </row>
    <row r="280" spans="1:15">
      <c r="A280">
        <v>20625</v>
      </c>
      <c r="B280" t="s">
        <v>63</v>
      </c>
      <c r="C280" t="s">
        <v>49</v>
      </c>
      <c r="D280" s="1">
        <v>100000</v>
      </c>
      <c r="E280" t="str" cm="1">
        <f t="array" ref="E280">_xlfn.IFS(D280&lt;40000,"Low Income",D280&lt;=80000,"Moderate Income",D280&gt;80000,"High Income")</f>
        <v>High Income</v>
      </c>
      <c r="F280">
        <v>0</v>
      </c>
      <c r="G280" t="s">
        <v>30</v>
      </c>
      <c r="H280" t="s">
        <v>31</v>
      </c>
      <c r="I280" t="s">
        <v>17</v>
      </c>
      <c r="J280">
        <v>3</v>
      </c>
      <c r="K280" t="s">
        <v>61</v>
      </c>
      <c r="L280" t="s">
        <v>27</v>
      </c>
      <c r="M280">
        <v>35</v>
      </c>
      <c r="N280" t="str">
        <f t="shared" si="4"/>
        <v>Middle-Aged</v>
      </c>
      <c r="O280" t="s">
        <v>17</v>
      </c>
    </row>
    <row r="281" spans="1:15">
      <c r="A281">
        <v>16390</v>
      </c>
      <c r="B281" t="s">
        <v>64</v>
      </c>
      <c r="C281" t="s">
        <v>49</v>
      </c>
      <c r="D281" s="1">
        <v>30000</v>
      </c>
      <c r="E281" t="str" cm="1">
        <f t="array" ref="E281">_xlfn.IFS(D281&lt;40000,"Low Income",D281&lt;=80000,"Moderate Income",D281&gt;80000,"High Income")</f>
        <v>Low Income</v>
      </c>
      <c r="F281">
        <v>1</v>
      </c>
      <c r="G281" t="s">
        <v>15</v>
      </c>
      <c r="H281" t="s">
        <v>22</v>
      </c>
      <c r="I281" t="s">
        <v>20</v>
      </c>
      <c r="J281">
        <v>0</v>
      </c>
      <c r="K281" t="s">
        <v>18</v>
      </c>
      <c r="L281" t="s">
        <v>19</v>
      </c>
      <c r="M281">
        <v>38</v>
      </c>
      <c r="N281" t="str">
        <f t="shared" si="4"/>
        <v>Middle-Aged</v>
      </c>
      <c r="O281" t="s">
        <v>17</v>
      </c>
    </row>
    <row r="282" spans="1:15">
      <c r="A282">
        <v>14804</v>
      </c>
      <c r="B282" t="s">
        <v>64</v>
      </c>
      <c r="C282" t="s">
        <v>47</v>
      </c>
      <c r="D282" s="1">
        <v>10000</v>
      </c>
      <c r="E282" t="str" cm="1">
        <f t="array" ref="E282">_xlfn.IFS(D282&lt;40000,"Low Income",D282&lt;=80000,"Moderate Income",D282&gt;80000,"High Income")</f>
        <v>Low Income</v>
      </c>
      <c r="F282">
        <v>3</v>
      </c>
      <c r="G282" t="s">
        <v>32</v>
      </c>
      <c r="H282" t="s">
        <v>28</v>
      </c>
      <c r="I282" t="s">
        <v>17</v>
      </c>
      <c r="J282">
        <v>2</v>
      </c>
      <c r="K282" t="s">
        <v>18</v>
      </c>
      <c r="L282" t="s">
        <v>19</v>
      </c>
      <c r="M282">
        <v>43</v>
      </c>
      <c r="N282" t="str">
        <f t="shared" si="4"/>
        <v>Middle-Aged</v>
      </c>
      <c r="O282" t="s">
        <v>20</v>
      </c>
    </row>
    <row r="283" spans="1:15">
      <c r="A283">
        <v>12629</v>
      </c>
      <c r="B283" t="s">
        <v>64</v>
      </c>
      <c r="C283" t="s">
        <v>49</v>
      </c>
      <c r="D283" s="1">
        <v>20000</v>
      </c>
      <c r="E283" t="str" cm="1">
        <f t="array" ref="E283">_xlfn.IFS(D283&lt;40000,"Low Income",D283&lt;=80000,"Moderate Income",D283&gt;80000,"High Income")</f>
        <v>Low Income</v>
      </c>
      <c r="F283">
        <v>1</v>
      </c>
      <c r="G283" t="s">
        <v>21</v>
      </c>
      <c r="H283" t="s">
        <v>28</v>
      </c>
      <c r="I283" t="s">
        <v>20</v>
      </c>
      <c r="J283">
        <v>0</v>
      </c>
      <c r="K283" t="s">
        <v>18</v>
      </c>
      <c r="L283" t="s">
        <v>19</v>
      </c>
      <c r="M283">
        <v>37</v>
      </c>
      <c r="N283" t="str">
        <f t="shared" si="4"/>
        <v>Middle-Aged</v>
      </c>
      <c r="O283" t="s">
        <v>20</v>
      </c>
    </row>
    <row r="284" spans="1:15">
      <c r="A284">
        <v>14696</v>
      </c>
      <c r="B284" t="s">
        <v>64</v>
      </c>
      <c r="C284" t="s">
        <v>49</v>
      </c>
      <c r="D284" s="1">
        <v>10000</v>
      </c>
      <c r="E284" t="str" cm="1">
        <f t="array" ref="E284">_xlfn.IFS(D284&lt;40000,"Low Income",D284&lt;=80000,"Moderate Income",D284&gt;80000,"High Income")</f>
        <v>Low Income</v>
      </c>
      <c r="F284">
        <v>0</v>
      </c>
      <c r="G284" t="s">
        <v>32</v>
      </c>
      <c r="H284" t="s">
        <v>28</v>
      </c>
      <c r="I284" t="s">
        <v>20</v>
      </c>
      <c r="J284">
        <v>2</v>
      </c>
      <c r="K284" t="s">
        <v>18</v>
      </c>
      <c r="L284" t="s">
        <v>19</v>
      </c>
      <c r="M284">
        <v>34</v>
      </c>
      <c r="N284" t="str">
        <f t="shared" si="4"/>
        <v>Middle-Aged</v>
      </c>
      <c r="O284" t="s">
        <v>20</v>
      </c>
    </row>
    <row r="285" spans="1:15">
      <c r="A285">
        <v>22005</v>
      </c>
      <c r="B285" t="s">
        <v>63</v>
      </c>
      <c r="C285" t="s">
        <v>47</v>
      </c>
      <c r="D285" s="1">
        <v>70000</v>
      </c>
      <c r="E285" t="str" cm="1">
        <f t="array" ref="E285">_xlfn.IFS(D285&lt;40000,"Low Income",D285&lt;=80000,"Moderate Income",D285&gt;80000,"High Income")</f>
        <v>Moderate Income</v>
      </c>
      <c r="F285">
        <v>5</v>
      </c>
      <c r="G285" t="s">
        <v>21</v>
      </c>
      <c r="H285" t="s">
        <v>16</v>
      </c>
      <c r="I285" t="s">
        <v>20</v>
      </c>
      <c r="J285">
        <v>3</v>
      </c>
      <c r="K285" t="s">
        <v>26</v>
      </c>
      <c r="L285" t="s">
        <v>27</v>
      </c>
      <c r="M285">
        <v>46</v>
      </c>
      <c r="N285" t="str">
        <f t="shared" si="4"/>
        <v>Middle-Aged</v>
      </c>
      <c r="O285" t="s">
        <v>20</v>
      </c>
    </row>
    <row r="286" spans="1:15">
      <c r="A286">
        <v>14544</v>
      </c>
      <c r="B286" t="s">
        <v>64</v>
      </c>
      <c r="C286" t="s">
        <v>49</v>
      </c>
      <c r="D286" s="1">
        <v>10000</v>
      </c>
      <c r="E286" t="str" cm="1">
        <f t="array" ref="E286">_xlfn.IFS(D286&lt;40000,"Low Income",D286&lt;=80000,"Moderate Income",D286&gt;80000,"High Income")</f>
        <v>Low Income</v>
      </c>
      <c r="F286">
        <v>1</v>
      </c>
      <c r="G286" t="s">
        <v>21</v>
      </c>
      <c r="H286" t="s">
        <v>28</v>
      </c>
      <c r="I286" t="s">
        <v>17</v>
      </c>
      <c r="J286">
        <v>0</v>
      </c>
      <c r="K286" t="s">
        <v>18</v>
      </c>
      <c r="L286" t="s">
        <v>19</v>
      </c>
      <c r="M286">
        <v>49</v>
      </c>
      <c r="N286" t="str">
        <f t="shared" si="4"/>
        <v>Middle-Aged</v>
      </c>
      <c r="O286" t="s">
        <v>20</v>
      </c>
    </row>
    <row r="287" spans="1:15">
      <c r="A287">
        <v>14312</v>
      </c>
      <c r="B287" t="s">
        <v>63</v>
      </c>
      <c r="C287" t="s">
        <v>47</v>
      </c>
      <c r="D287" s="1">
        <v>60000</v>
      </c>
      <c r="E287" t="str" cm="1">
        <f t="array" ref="E287">_xlfn.IFS(D287&lt;40000,"Low Income",D287&lt;=80000,"Moderate Income",D287&gt;80000,"High Income")</f>
        <v>Moderate Income</v>
      </c>
      <c r="F287">
        <v>1</v>
      </c>
      <c r="G287" t="s">
        <v>21</v>
      </c>
      <c r="H287" t="s">
        <v>16</v>
      </c>
      <c r="I287" t="s">
        <v>17</v>
      </c>
      <c r="J287">
        <v>1</v>
      </c>
      <c r="K287" t="s">
        <v>26</v>
      </c>
      <c r="L287" t="s">
        <v>27</v>
      </c>
      <c r="M287">
        <v>45</v>
      </c>
      <c r="N287" t="str">
        <f t="shared" si="4"/>
        <v>Middle-Aged</v>
      </c>
      <c r="O287" t="s">
        <v>20</v>
      </c>
    </row>
    <row r="288" spans="1:15">
      <c r="A288">
        <v>29120</v>
      </c>
      <c r="B288" t="s">
        <v>64</v>
      </c>
      <c r="C288" t="s">
        <v>47</v>
      </c>
      <c r="D288" s="1">
        <v>100000</v>
      </c>
      <c r="E288" t="str" cm="1">
        <f t="array" ref="E288">_xlfn.IFS(D288&lt;40000,"Low Income",D288&lt;=80000,"Moderate Income",D288&gt;80000,"High Income")</f>
        <v>High Income</v>
      </c>
      <c r="F288">
        <v>1</v>
      </c>
      <c r="G288" t="s">
        <v>15</v>
      </c>
      <c r="H288" t="s">
        <v>31</v>
      </c>
      <c r="I288" t="s">
        <v>17</v>
      </c>
      <c r="J288">
        <v>4</v>
      </c>
      <c r="K288" t="s">
        <v>24</v>
      </c>
      <c r="L288" t="s">
        <v>27</v>
      </c>
      <c r="M288">
        <v>48</v>
      </c>
      <c r="N288" t="str">
        <f t="shared" si="4"/>
        <v>Middle-Aged</v>
      </c>
      <c r="O288" t="s">
        <v>20</v>
      </c>
    </row>
    <row r="289" spans="1:15">
      <c r="A289">
        <v>24187</v>
      </c>
      <c r="B289" t="s">
        <v>64</v>
      </c>
      <c r="C289" t="s">
        <v>47</v>
      </c>
      <c r="D289" s="1">
        <v>30000</v>
      </c>
      <c r="E289" t="str" cm="1">
        <f t="array" ref="E289">_xlfn.IFS(D289&lt;40000,"Low Income",D289&lt;=80000,"Moderate Income",D289&gt;80000,"High Income")</f>
        <v>Low Income</v>
      </c>
      <c r="F289">
        <v>3</v>
      </c>
      <c r="G289" t="s">
        <v>34</v>
      </c>
      <c r="H289" t="s">
        <v>22</v>
      </c>
      <c r="I289" t="s">
        <v>20</v>
      </c>
      <c r="J289">
        <v>0</v>
      </c>
      <c r="K289" t="s">
        <v>18</v>
      </c>
      <c r="L289" t="s">
        <v>19</v>
      </c>
      <c r="M289">
        <v>46</v>
      </c>
      <c r="N289" t="str">
        <f t="shared" si="4"/>
        <v>Middle-Aged</v>
      </c>
      <c r="O289" t="s">
        <v>17</v>
      </c>
    </row>
    <row r="290" spans="1:15">
      <c r="A290">
        <v>15758</v>
      </c>
      <c r="B290" t="s">
        <v>63</v>
      </c>
      <c r="C290" t="s">
        <v>49</v>
      </c>
      <c r="D290" s="1">
        <v>130000</v>
      </c>
      <c r="E290" t="str" cm="1">
        <f t="array" ref="E290">_xlfn.IFS(D290&lt;40000,"Low Income",D290&lt;=80000,"Moderate Income",D290&gt;80000,"High Income")</f>
        <v>High Income</v>
      </c>
      <c r="F290">
        <v>0</v>
      </c>
      <c r="G290" t="s">
        <v>34</v>
      </c>
      <c r="H290" t="s">
        <v>31</v>
      </c>
      <c r="I290" t="s">
        <v>17</v>
      </c>
      <c r="J290">
        <v>0</v>
      </c>
      <c r="K290" t="s">
        <v>26</v>
      </c>
      <c r="L290" t="s">
        <v>27</v>
      </c>
      <c r="M290">
        <v>48</v>
      </c>
      <c r="N290" t="str">
        <f t="shared" si="4"/>
        <v>Middle-Aged</v>
      </c>
      <c r="O290" t="s">
        <v>20</v>
      </c>
    </row>
    <row r="291" spans="1:15">
      <c r="A291">
        <v>29094</v>
      </c>
      <c r="B291" t="s">
        <v>63</v>
      </c>
      <c r="C291" t="s">
        <v>49</v>
      </c>
      <c r="D291" s="1">
        <v>30000</v>
      </c>
      <c r="E291" t="str" cm="1">
        <f t="array" ref="E291">_xlfn.IFS(D291&lt;40000,"Low Income",D291&lt;=80000,"Moderate Income",D291&gt;80000,"High Income")</f>
        <v>Low Income</v>
      </c>
      <c r="F291">
        <v>3</v>
      </c>
      <c r="G291" t="s">
        <v>30</v>
      </c>
      <c r="H291" t="s">
        <v>16</v>
      </c>
      <c r="I291" t="s">
        <v>17</v>
      </c>
      <c r="J291">
        <v>2</v>
      </c>
      <c r="K291" t="s">
        <v>26</v>
      </c>
      <c r="L291" t="s">
        <v>27</v>
      </c>
      <c r="M291">
        <v>54</v>
      </c>
      <c r="N291" t="str">
        <f t="shared" si="4"/>
        <v>Middle-Aged</v>
      </c>
      <c r="O291" t="s">
        <v>17</v>
      </c>
    </row>
    <row r="292" spans="1:15">
      <c r="A292">
        <v>28319</v>
      </c>
      <c r="B292" t="s">
        <v>64</v>
      </c>
      <c r="C292" t="s">
        <v>47</v>
      </c>
      <c r="D292" s="1">
        <v>60000</v>
      </c>
      <c r="E292" t="str" cm="1">
        <f t="array" ref="E292">_xlfn.IFS(D292&lt;40000,"Low Income",D292&lt;=80000,"Moderate Income",D292&gt;80000,"High Income")</f>
        <v>Moderate Income</v>
      </c>
      <c r="F292">
        <v>1</v>
      </c>
      <c r="G292" t="s">
        <v>21</v>
      </c>
      <c r="H292" t="s">
        <v>16</v>
      </c>
      <c r="I292" t="s">
        <v>20</v>
      </c>
      <c r="J292">
        <v>1</v>
      </c>
      <c r="K292" t="s">
        <v>18</v>
      </c>
      <c r="L292" t="s">
        <v>27</v>
      </c>
      <c r="M292">
        <v>46</v>
      </c>
      <c r="N292" t="str">
        <f t="shared" si="4"/>
        <v>Middle-Aged</v>
      </c>
      <c r="O292" t="s">
        <v>17</v>
      </c>
    </row>
    <row r="293" spans="1:15">
      <c r="A293">
        <v>16406</v>
      </c>
      <c r="B293" t="s">
        <v>63</v>
      </c>
      <c r="C293" t="s">
        <v>49</v>
      </c>
      <c r="D293" s="1">
        <v>40000</v>
      </c>
      <c r="E293" t="str" cm="1">
        <f t="array" ref="E293">_xlfn.IFS(D293&lt;40000,"Low Income",D293&lt;=80000,"Moderate Income",D293&gt;80000,"High Income")</f>
        <v>Moderate Income</v>
      </c>
      <c r="F293">
        <v>0</v>
      </c>
      <c r="G293" t="s">
        <v>15</v>
      </c>
      <c r="H293" t="s">
        <v>22</v>
      </c>
      <c r="I293" t="s">
        <v>20</v>
      </c>
      <c r="J293">
        <v>0</v>
      </c>
      <c r="K293" t="s">
        <v>18</v>
      </c>
      <c r="L293" t="s">
        <v>19</v>
      </c>
      <c r="M293">
        <v>38</v>
      </c>
      <c r="N293" t="str">
        <f t="shared" si="4"/>
        <v>Middle-Aged</v>
      </c>
      <c r="O293" t="s">
        <v>17</v>
      </c>
    </row>
    <row r="294" spans="1:15">
      <c r="A294">
        <v>20923</v>
      </c>
      <c r="B294" t="s">
        <v>63</v>
      </c>
      <c r="C294" t="s">
        <v>47</v>
      </c>
      <c r="D294" s="1">
        <v>40000</v>
      </c>
      <c r="E294" t="str" cm="1">
        <f t="array" ref="E294">_xlfn.IFS(D294&lt;40000,"Low Income",D294&lt;=80000,"Moderate Income",D294&gt;80000,"High Income")</f>
        <v>Moderate Income</v>
      </c>
      <c r="F294">
        <v>1</v>
      </c>
      <c r="G294" t="s">
        <v>15</v>
      </c>
      <c r="H294" t="s">
        <v>16</v>
      </c>
      <c r="I294" t="s">
        <v>17</v>
      </c>
      <c r="J294">
        <v>0</v>
      </c>
      <c r="K294" t="s">
        <v>18</v>
      </c>
      <c r="L294" t="s">
        <v>19</v>
      </c>
      <c r="M294">
        <v>42</v>
      </c>
      <c r="N294" t="str">
        <f t="shared" si="4"/>
        <v>Middle-Aged</v>
      </c>
      <c r="O294" t="s">
        <v>17</v>
      </c>
    </row>
    <row r="295" spans="1:15">
      <c r="A295">
        <v>11378</v>
      </c>
      <c r="B295" t="s">
        <v>64</v>
      </c>
      <c r="C295" t="s">
        <v>47</v>
      </c>
      <c r="D295" s="1">
        <v>10000</v>
      </c>
      <c r="E295" t="str" cm="1">
        <f t="array" ref="E295">_xlfn.IFS(D295&lt;40000,"Low Income",D295&lt;=80000,"Moderate Income",D295&gt;80000,"High Income")</f>
        <v>Low Income</v>
      </c>
      <c r="F295">
        <v>1</v>
      </c>
      <c r="G295" t="s">
        <v>30</v>
      </c>
      <c r="H295" t="s">
        <v>28</v>
      </c>
      <c r="I295" t="s">
        <v>20</v>
      </c>
      <c r="J295">
        <v>1</v>
      </c>
      <c r="K295" t="s">
        <v>24</v>
      </c>
      <c r="L295" t="s">
        <v>19</v>
      </c>
      <c r="M295">
        <v>46</v>
      </c>
      <c r="N295" t="str">
        <f t="shared" si="4"/>
        <v>Middle-Aged</v>
      </c>
      <c r="O295" t="s">
        <v>17</v>
      </c>
    </row>
    <row r="296" spans="1:15">
      <c r="A296">
        <v>20851</v>
      </c>
      <c r="B296" t="s">
        <v>64</v>
      </c>
      <c r="C296" t="s">
        <v>49</v>
      </c>
      <c r="D296" s="1">
        <v>20000</v>
      </c>
      <c r="E296" t="str" cm="1">
        <f t="array" ref="E296">_xlfn.IFS(D296&lt;40000,"Low Income",D296&lt;=80000,"Moderate Income",D296&gt;80000,"High Income")</f>
        <v>Low Income</v>
      </c>
      <c r="F296">
        <v>0</v>
      </c>
      <c r="G296" t="s">
        <v>21</v>
      </c>
      <c r="H296" t="s">
        <v>28</v>
      </c>
      <c r="I296" t="s">
        <v>20</v>
      </c>
      <c r="J296">
        <v>1</v>
      </c>
      <c r="K296" t="s">
        <v>24</v>
      </c>
      <c r="L296" t="s">
        <v>19</v>
      </c>
      <c r="M296">
        <v>36</v>
      </c>
      <c r="N296" t="str">
        <f t="shared" si="4"/>
        <v>Middle-Aged</v>
      </c>
      <c r="O296" t="s">
        <v>17</v>
      </c>
    </row>
    <row r="297" spans="1:15">
      <c r="A297">
        <v>21557</v>
      </c>
      <c r="B297" t="s">
        <v>64</v>
      </c>
      <c r="C297" t="s">
        <v>47</v>
      </c>
      <c r="D297" s="1">
        <v>110000</v>
      </c>
      <c r="E297" t="str" cm="1">
        <f t="array" ref="E297">_xlfn.IFS(D297&lt;40000,"Low Income",D297&lt;=80000,"Moderate Income",D297&gt;80000,"High Income")</f>
        <v>High Income</v>
      </c>
      <c r="F297">
        <v>0</v>
      </c>
      <c r="G297" t="s">
        <v>21</v>
      </c>
      <c r="H297" t="s">
        <v>31</v>
      </c>
      <c r="I297" t="s">
        <v>17</v>
      </c>
      <c r="J297">
        <v>3</v>
      </c>
      <c r="K297" t="s">
        <v>61</v>
      </c>
      <c r="L297" t="s">
        <v>27</v>
      </c>
      <c r="M297">
        <v>32</v>
      </c>
      <c r="N297" t="str">
        <f t="shared" si="4"/>
        <v>Middle-Aged</v>
      </c>
      <c r="O297" t="s">
        <v>17</v>
      </c>
    </row>
    <row r="298" spans="1:15">
      <c r="A298">
        <v>26663</v>
      </c>
      <c r="B298" t="s">
        <v>64</v>
      </c>
      <c r="C298" t="s">
        <v>47</v>
      </c>
      <c r="D298" s="1">
        <v>60000</v>
      </c>
      <c r="E298" t="str" cm="1">
        <f t="array" ref="E298">_xlfn.IFS(D298&lt;40000,"Low Income",D298&lt;=80000,"Moderate Income",D298&gt;80000,"High Income")</f>
        <v>Moderate Income</v>
      </c>
      <c r="F298">
        <v>2</v>
      </c>
      <c r="G298" t="s">
        <v>15</v>
      </c>
      <c r="H298" t="s">
        <v>23</v>
      </c>
      <c r="I298" t="s">
        <v>20</v>
      </c>
      <c r="J298">
        <v>1</v>
      </c>
      <c r="K298" t="s">
        <v>18</v>
      </c>
      <c r="L298" t="s">
        <v>27</v>
      </c>
      <c r="M298">
        <v>39</v>
      </c>
      <c r="N298" t="str">
        <f t="shared" si="4"/>
        <v>Middle-Aged</v>
      </c>
      <c r="O298" t="s">
        <v>17</v>
      </c>
    </row>
    <row r="299" spans="1:15">
      <c r="A299">
        <v>11896</v>
      </c>
      <c r="B299" t="s">
        <v>63</v>
      </c>
      <c r="C299" t="s">
        <v>49</v>
      </c>
      <c r="D299" s="1">
        <v>100000</v>
      </c>
      <c r="E299" t="str" cm="1">
        <f t="array" ref="E299">_xlfn.IFS(D299&lt;40000,"Low Income",D299&lt;=80000,"Moderate Income",D299&gt;80000,"High Income")</f>
        <v>High Income</v>
      </c>
      <c r="F299">
        <v>1</v>
      </c>
      <c r="G299" t="s">
        <v>34</v>
      </c>
      <c r="H299" t="s">
        <v>31</v>
      </c>
      <c r="I299" t="s">
        <v>17</v>
      </c>
      <c r="J299">
        <v>0</v>
      </c>
      <c r="K299" t="s">
        <v>24</v>
      </c>
      <c r="L299" t="s">
        <v>27</v>
      </c>
      <c r="M299">
        <v>36</v>
      </c>
      <c r="N299" t="str">
        <f t="shared" si="4"/>
        <v>Middle-Aged</v>
      </c>
      <c r="O299" t="s">
        <v>17</v>
      </c>
    </row>
    <row r="300" spans="1:15">
      <c r="A300">
        <v>14189</v>
      </c>
      <c r="B300" t="s">
        <v>63</v>
      </c>
      <c r="C300" t="s">
        <v>47</v>
      </c>
      <c r="D300" s="1">
        <v>90000</v>
      </c>
      <c r="E300" t="str" cm="1">
        <f t="array" ref="E300">_xlfn.IFS(D300&lt;40000,"Low Income",D300&lt;=80000,"Moderate Income",D300&gt;80000,"High Income")</f>
        <v>High Income</v>
      </c>
      <c r="F300">
        <v>4</v>
      </c>
      <c r="G300" t="s">
        <v>30</v>
      </c>
      <c r="H300" t="s">
        <v>23</v>
      </c>
      <c r="I300" t="s">
        <v>20</v>
      </c>
      <c r="J300">
        <v>2</v>
      </c>
      <c r="K300" t="s">
        <v>24</v>
      </c>
      <c r="L300" t="s">
        <v>19</v>
      </c>
      <c r="M300">
        <v>54</v>
      </c>
      <c r="N300" t="str">
        <f t="shared" si="4"/>
        <v>Middle-Aged</v>
      </c>
      <c r="O300" t="s">
        <v>17</v>
      </c>
    </row>
    <row r="301" spans="1:15">
      <c r="A301">
        <v>13136</v>
      </c>
      <c r="B301" t="s">
        <v>63</v>
      </c>
      <c r="C301" t="s">
        <v>47</v>
      </c>
      <c r="D301" s="1">
        <v>30000</v>
      </c>
      <c r="E301" t="str" cm="1">
        <f t="array" ref="E301">_xlfn.IFS(D301&lt;40000,"Low Income",D301&lt;=80000,"Moderate Income",D301&gt;80000,"High Income")</f>
        <v>Low Income</v>
      </c>
      <c r="F301">
        <v>2</v>
      </c>
      <c r="G301" t="s">
        <v>21</v>
      </c>
      <c r="H301" t="s">
        <v>22</v>
      </c>
      <c r="I301" t="s">
        <v>20</v>
      </c>
      <c r="J301">
        <v>2</v>
      </c>
      <c r="K301" t="s">
        <v>26</v>
      </c>
      <c r="L301" t="s">
        <v>27</v>
      </c>
      <c r="M301">
        <v>69</v>
      </c>
      <c r="N301" t="str">
        <f t="shared" si="4"/>
        <v>Seniors</v>
      </c>
      <c r="O301" t="s">
        <v>20</v>
      </c>
    </row>
    <row r="302" spans="1:15">
      <c r="A302">
        <v>25906</v>
      </c>
      <c r="B302" t="s">
        <v>64</v>
      </c>
      <c r="C302" t="s">
        <v>47</v>
      </c>
      <c r="D302" s="1">
        <v>10000</v>
      </c>
      <c r="E302" t="str" cm="1">
        <f t="array" ref="E302">_xlfn.IFS(D302&lt;40000,"Low Income",D302&lt;=80000,"Moderate Income",D302&gt;80000,"High Income")</f>
        <v>Low Income</v>
      </c>
      <c r="F302">
        <v>5</v>
      </c>
      <c r="G302" t="s">
        <v>30</v>
      </c>
      <c r="H302" t="s">
        <v>16</v>
      </c>
      <c r="I302" t="s">
        <v>20</v>
      </c>
      <c r="J302">
        <v>2</v>
      </c>
      <c r="K302" t="s">
        <v>29</v>
      </c>
      <c r="L302" t="s">
        <v>27</v>
      </c>
      <c r="M302">
        <v>62</v>
      </c>
      <c r="N302" t="str">
        <f t="shared" si="4"/>
        <v>Seniors</v>
      </c>
      <c r="O302" t="s">
        <v>20</v>
      </c>
    </row>
    <row r="303" spans="1:15">
      <c r="A303">
        <v>17926</v>
      </c>
      <c r="B303" t="s">
        <v>64</v>
      </c>
      <c r="C303" t="s">
        <v>47</v>
      </c>
      <c r="D303" s="1">
        <v>40000</v>
      </c>
      <c r="E303" t="str" cm="1">
        <f t="array" ref="E303">_xlfn.IFS(D303&lt;40000,"Low Income",D303&lt;=80000,"Moderate Income",D303&gt;80000,"High Income")</f>
        <v>Moderate Income</v>
      </c>
      <c r="F303">
        <v>0</v>
      </c>
      <c r="G303" t="s">
        <v>15</v>
      </c>
      <c r="H303" t="s">
        <v>22</v>
      </c>
      <c r="I303" t="s">
        <v>20</v>
      </c>
      <c r="J303">
        <v>0</v>
      </c>
      <c r="K303" t="s">
        <v>18</v>
      </c>
      <c r="L303" t="s">
        <v>27</v>
      </c>
      <c r="M303">
        <v>28</v>
      </c>
      <c r="N303" t="str">
        <f t="shared" si="4"/>
        <v>Young Adults</v>
      </c>
      <c r="O303" t="s">
        <v>17</v>
      </c>
    </row>
    <row r="304" spans="1:15">
      <c r="A304">
        <v>26928</v>
      </c>
      <c r="B304" t="s">
        <v>64</v>
      </c>
      <c r="C304" t="s">
        <v>49</v>
      </c>
      <c r="D304" s="1">
        <v>30000</v>
      </c>
      <c r="E304" t="str" cm="1">
        <f t="array" ref="E304">_xlfn.IFS(D304&lt;40000,"Low Income",D304&lt;=80000,"Moderate Income",D304&gt;80000,"High Income")</f>
        <v>Low Income</v>
      </c>
      <c r="F304">
        <v>1</v>
      </c>
      <c r="G304" t="s">
        <v>15</v>
      </c>
      <c r="H304" t="s">
        <v>22</v>
      </c>
      <c r="I304" t="s">
        <v>17</v>
      </c>
      <c r="J304">
        <v>0</v>
      </c>
      <c r="K304" t="s">
        <v>18</v>
      </c>
      <c r="L304" t="s">
        <v>19</v>
      </c>
      <c r="M304">
        <v>62</v>
      </c>
      <c r="N304" t="str">
        <f t="shared" si="4"/>
        <v>Seniors</v>
      </c>
      <c r="O304" t="s">
        <v>17</v>
      </c>
    </row>
    <row r="305" spans="1:15">
      <c r="A305">
        <v>20897</v>
      </c>
      <c r="B305" t="s">
        <v>63</v>
      </c>
      <c r="C305" t="s">
        <v>47</v>
      </c>
      <c r="D305" s="1">
        <v>30000</v>
      </c>
      <c r="E305" t="str" cm="1">
        <f t="array" ref="E305">_xlfn.IFS(D305&lt;40000,"Low Income",D305&lt;=80000,"Moderate Income",D305&gt;80000,"High Income")</f>
        <v>Low Income</v>
      </c>
      <c r="F305">
        <v>1</v>
      </c>
      <c r="G305" t="s">
        <v>15</v>
      </c>
      <c r="H305" t="s">
        <v>16</v>
      </c>
      <c r="I305" t="s">
        <v>17</v>
      </c>
      <c r="J305">
        <v>2</v>
      </c>
      <c r="K305" t="s">
        <v>18</v>
      </c>
      <c r="L305" t="s">
        <v>19</v>
      </c>
      <c r="M305">
        <v>40</v>
      </c>
      <c r="N305" t="str">
        <f t="shared" si="4"/>
        <v>Middle-Aged</v>
      </c>
      <c r="O305" t="s">
        <v>20</v>
      </c>
    </row>
    <row r="306" spans="1:15">
      <c r="A306">
        <v>28207</v>
      </c>
      <c r="B306" t="s">
        <v>63</v>
      </c>
      <c r="C306" t="s">
        <v>49</v>
      </c>
      <c r="D306" s="1">
        <v>80000</v>
      </c>
      <c r="E306" t="str" cm="1">
        <f t="array" ref="E306">_xlfn.IFS(D306&lt;40000,"Low Income",D306&lt;=80000,"Moderate Income",D306&gt;80000,"High Income")</f>
        <v>Moderate Income</v>
      </c>
      <c r="F306">
        <v>4</v>
      </c>
      <c r="G306" t="s">
        <v>34</v>
      </c>
      <c r="H306" t="s">
        <v>31</v>
      </c>
      <c r="I306" t="s">
        <v>17</v>
      </c>
      <c r="J306">
        <v>1</v>
      </c>
      <c r="K306" t="s">
        <v>18</v>
      </c>
      <c r="L306" t="s">
        <v>27</v>
      </c>
      <c r="M306">
        <v>36</v>
      </c>
      <c r="N306" t="str">
        <f t="shared" si="4"/>
        <v>Middle-Aged</v>
      </c>
      <c r="O306" t="s">
        <v>17</v>
      </c>
    </row>
    <row r="307" spans="1:15">
      <c r="A307">
        <v>25923</v>
      </c>
      <c r="B307" t="s">
        <v>64</v>
      </c>
      <c r="C307" t="s">
        <v>49</v>
      </c>
      <c r="D307" s="1">
        <v>10000</v>
      </c>
      <c r="E307" t="str" cm="1">
        <f t="array" ref="E307">_xlfn.IFS(D307&lt;40000,"Low Income",D307&lt;=80000,"Moderate Income",D307&gt;80000,"High Income")</f>
        <v>Low Income</v>
      </c>
      <c r="F307">
        <v>2</v>
      </c>
      <c r="G307" t="s">
        <v>32</v>
      </c>
      <c r="H307" t="s">
        <v>22</v>
      </c>
      <c r="I307" t="s">
        <v>17</v>
      </c>
      <c r="J307">
        <v>2</v>
      </c>
      <c r="K307" t="s">
        <v>26</v>
      </c>
      <c r="L307" t="s">
        <v>27</v>
      </c>
      <c r="M307">
        <v>58</v>
      </c>
      <c r="N307" t="str">
        <f t="shared" si="4"/>
        <v>Middle-Aged</v>
      </c>
      <c r="O307" t="s">
        <v>20</v>
      </c>
    </row>
    <row r="308" spans="1:15">
      <c r="A308">
        <v>11000</v>
      </c>
      <c r="B308" t="s">
        <v>63</v>
      </c>
      <c r="C308" t="s">
        <v>49</v>
      </c>
      <c r="D308" s="1">
        <v>90000</v>
      </c>
      <c r="E308" t="str" cm="1">
        <f t="array" ref="E308">_xlfn.IFS(D308&lt;40000,"Low Income",D308&lt;=80000,"Moderate Income",D308&gt;80000,"High Income")</f>
        <v>High Income</v>
      </c>
      <c r="F308">
        <v>2</v>
      </c>
      <c r="G308" t="s">
        <v>15</v>
      </c>
      <c r="H308" t="s">
        <v>23</v>
      </c>
      <c r="I308" t="s">
        <v>17</v>
      </c>
      <c r="J308">
        <v>0</v>
      </c>
      <c r="K308" t="s">
        <v>29</v>
      </c>
      <c r="L308" t="s">
        <v>27</v>
      </c>
      <c r="M308">
        <v>40</v>
      </c>
      <c r="N308" t="str">
        <f t="shared" si="4"/>
        <v>Middle-Aged</v>
      </c>
      <c r="O308" t="s">
        <v>17</v>
      </c>
    </row>
    <row r="309" spans="1:15">
      <c r="A309">
        <v>20974</v>
      </c>
      <c r="B309" t="s">
        <v>63</v>
      </c>
      <c r="C309" t="s">
        <v>49</v>
      </c>
      <c r="D309" s="1">
        <v>10000</v>
      </c>
      <c r="E309" t="str" cm="1">
        <f t="array" ref="E309">_xlfn.IFS(D309&lt;40000,"Low Income",D309&lt;=80000,"Moderate Income",D309&gt;80000,"High Income")</f>
        <v>Low Income</v>
      </c>
      <c r="F309">
        <v>2</v>
      </c>
      <c r="G309" t="s">
        <v>15</v>
      </c>
      <c r="H309" t="s">
        <v>22</v>
      </c>
      <c r="I309" t="s">
        <v>17</v>
      </c>
      <c r="J309">
        <v>1</v>
      </c>
      <c r="K309" t="s">
        <v>18</v>
      </c>
      <c r="L309" t="s">
        <v>19</v>
      </c>
      <c r="M309">
        <v>66</v>
      </c>
      <c r="N309" t="str">
        <f t="shared" si="4"/>
        <v>Seniors</v>
      </c>
      <c r="O309" t="s">
        <v>20</v>
      </c>
    </row>
    <row r="310" spans="1:15">
      <c r="A310">
        <v>28758</v>
      </c>
      <c r="B310" t="s">
        <v>63</v>
      </c>
      <c r="C310" t="s">
        <v>49</v>
      </c>
      <c r="D310" s="1">
        <v>40000</v>
      </c>
      <c r="E310" t="str" cm="1">
        <f t="array" ref="E310">_xlfn.IFS(D310&lt;40000,"Low Income",D310&lt;=80000,"Moderate Income",D310&gt;80000,"High Income")</f>
        <v>Moderate Income</v>
      </c>
      <c r="F310">
        <v>2</v>
      </c>
      <c r="G310" t="s">
        <v>21</v>
      </c>
      <c r="H310" t="s">
        <v>22</v>
      </c>
      <c r="I310" t="s">
        <v>17</v>
      </c>
      <c r="J310">
        <v>1</v>
      </c>
      <c r="K310" t="s">
        <v>29</v>
      </c>
      <c r="L310" t="s">
        <v>19</v>
      </c>
      <c r="M310">
        <v>35</v>
      </c>
      <c r="N310" t="str">
        <f t="shared" si="4"/>
        <v>Middle-Aged</v>
      </c>
      <c r="O310" t="s">
        <v>17</v>
      </c>
    </row>
    <row r="311" spans="1:15">
      <c r="A311">
        <v>11381</v>
      </c>
      <c r="B311" t="s">
        <v>63</v>
      </c>
      <c r="C311" t="s">
        <v>47</v>
      </c>
      <c r="D311" s="1">
        <v>20000</v>
      </c>
      <c r="E311" t="str" cm="1">
        <f t="array" ref="E311">_xlfn.IFS(D311&lt;40000,"Low Income",D311&lt;=80000,"Moderate Income",D311&gt;80000,"High Income")</f>
        <v>Low Income</v>
      </c>
      <c r="F311">
        <v>2</v>
      </c>
      <c r="G311" t="s">
        <v>21</v>
      </c>
      <c r="H311" t="s">
        <v>28</v>
      </c>
      <c r="I311" t="s">
        <v>17</v>
      </c>
      <c r="J311">
        <v>1</v>
      </c>
      <c r="K311" t="s">
        <v>24</v>
      </c>
      <c r="L311" t="s">
        <v>19</v>
      </c>
      <c r="M311">
        <v>47</v>
      </c>
      <c r="N311" t="str">
        <f t="shared" si="4"/>
        <v>Middle-Aged</v>
      </c>
      <c r="O311" t="s">
        <v>17</v>
      </c>
    </row>
    <row r="312" spans="1:15">
      <c r="A312">
        <v>17522</v>
      </c>
      <c r="B312" t="s">
        <v>63</v>
      </c>
      <c r="C312" t="s">
        <v>49</v>
      </c>
      <c r="D312" s="1">
        <v>120000</v>
      </c>
      <c r="E312" t="str" cm="1">
        <f t="array" ref="E312">_xlfn.IFS(D312&lt;40000,"Low Income",D312&lt;=80000,"Moderate Income",D312&gt;80000,"High Income")</f>
        <v>High Income</v>
      </c>
      <c r="F312">
        <v>4</v>
      </c>
      <c r="G312" t="s">
        <v>15</v>
      </c>
      <c r="H312" t="s">
        <v>31</v>
      </c>
      <c r="I312" t="s">
        <v>17</v>
      </c>
      <c r="J312">
        <v>1</v>
      </c>
      <c r="K312" t="s">
        <v>24</v>
      </c>
      <c r="L312" t="s">
        <v>27</v>
      </c>
      <c r="M312">
        <v>47</v>
      </c>
      <c r="N312" t="str">
        <f t="shared" si="4"/>
        <v>Middle-Aged</v>
      </c>
      <c r="O312" t="s">
        <v>20</v>
      </c>
    </row>
    <row r="313" spans="1:15">
      <c r="A313">
        <v>21207</v>
      </c>
      <c r="B313" t="s">
        <v>63</v>
      </c>
      <c r="C313" t="s">
        <v>49</v>
      </c>
      <c r="D313" s="1">
        <v>60000</v>
      </c>
      <c r="E313" t="str" cm="1">
        <f t="array" ref="E313">_xlfn.IFS(D313&lt;40000,"Low Income",D313&lt;=80000,"Moderate Income",D313&gt;80000,"High Income")</f>
        <v>Moderate Income</v>
      </c>
      <c r="F313">
        <v>1</v>
      </c>
      <c r="G313" t="s">
        <v>21</v>
      </c>
      <c r="H313" t="s">
        <v>16</v>
      </c>
      <c r="I313" t="s">
        <v>17</v>
      </c>
      <c r="J313">
        <v>1</v>
      </c>
      <c r="K313" t="s">
        <v>26</v>
      </c>
      <c r="L313" t="s">
        <v>27</v>
      </c>
      <c r="M313">
        <v>46</v>
      </c>
      <c r="N313" t="str">
        <f t="shared" si="4"/>
        <v>Middle-Aged</v>
      </c>
      <c r="O313" t="s">
        <v>20</v>
      </c>
    </row>
    <row r="314" spans="1:15">
      <c r="A314">
        <v>28102</v>
      </c>
      <c r="B314" t="s">
        <v>63</v>
      </c>
      <c r="C314" t="s">
        <v>49</v>
      </c>
      <c r="D314" s="1">
        <v>20000</v>
      </c>
      <c r="E314" t="str" cm="1">
        <f t="array" ref="E314">_xlfn.IFS(D314&lt;40000,"Low Income",D314&lt;=80000,"Moderate Income",D314&gt;80000,"High Income")</f>
        <v>Low Income</v>
      </c>
      <c r="F314">
        <v>4</v>
      </c>
      <c r="G314" t="s">
        <v>30</v>
      </c>
      <c r="H314" t="s">
        <v>16</v>
      </c>
      <c r="I314" t="s">
        <v>17</v>
      </c>
      <c r="J314">
        <v>2</v>
      </c>
      <c r="K314" t="s">
        <v>26</v>
      </c>
      <c r="L314" t="s">
        <v>27</v>
      </c>
      <c r="M314">
        <v>58</v>
      </c>
      <c r="N314" t="str">
        <f t="shared" si="4"/>
        <v>Middle-Aged</v>
      </c>
      <c r="O314" t="s">
        <v>17</v>
      </c>
    </row>
    <row r="315" spans="1:15">
      <c r="A315">
        <v>23105</v>
      </c>
      <c r="B315" t="s">
        <v>64</v>
      </c>
      <c r="C315" t="s">
        <v>49</v>
      </c>
      <c r="D315" s="1">
        <v>40000</v>
      </c>
      <c r="E315" t="str" cm="1">
        <f t="array" ref="E315">_xlfn.IFS(D315&lt;40000,"Low Income",D315&lt;=80000,"Moderate Income",D315&gt;80000,"High Income")</f>
        <v>Moderate Income</v>
      </c>
      <c r="F315">
        <v>3</v>
      </c>
      <c r="G315" t="s">
        <v>32</v>
      </c>
      <c r="H315" t="s">
        <v>22</v>
      </c>
      <c r="I315" t="s">
        <v>20</v>
      </c>
      <c r="J315">
        <v>2</v>
      </c>
      <c r="K315" t="s">
        <v>26</v>
      </c>
      <c r="L315" t="s">
        <v>27</v>
      </c>
      <c r="M315">
        <v>52</v>
      </c>
      <c r="N315" t="str">
        <f t="shared" si="4"/>
        <v>Middle-Aged</v>
      </c>
      <c r="O315" t="s">
        <v>17</v>
      </c>
    </row>
    <row r="316" spans="1:15">
      <c r="A316">
        <v>18740</v>
      </c>
      <c r="B316" t="s">
        <v>63</v>
      </c>
      <c r="C316" t="s">
        <v>49</v>
      </c>
      <c r="D316" s="1">
        <v>80000</v>
      </c>
      <c r="E316" t="str" cm="1">
        <f t="array" ref="E316">_xlfn.IFS(D316&lt;40000,"Low Income",D316&lt;=80000,"Moderate Income",D316&gt;80000,"High Income")</f>
        <v>Moderate Income</v>
      </c>
      <c r="F316">
        <v>5</v>
      </c>
      <c r="G316" t="s">
        <v>15</v>
      </c>
      <c r="H316" t="s">
        <v>23</v>
      </c>
      <c r="I316" t="s">
        <v>20</v>
      </c>
      <c r="J316">
        <v>1</v>
      </c>
      <c r="K316" t="s">
        <v>18</v>
      </c>
      <c r="L316" t="s">
        <v>27</v>
      </c>
      <c r="M316">
        <v>47</v>
      </c>
      <c r="N316" t="str">
        <f t="shared" si="4"/>
        <v>Middle-Aged</v>
      </c>
      <c r="O316" t="s">
        <v>17</v>
      </c>
    </row>
    <row r="317" spans="1:15">
      <c r="A317">
        <v>21213</v>
      </c>
      <c r="B317" t="s">
        <v>64</v>
      </c>
      <c r="C317" t="s">
        <v>49</v>
      </c>
      <c r="D317" s="1">
        <v>70000</v>
      </c>
      <c r="E317" t="str" cm="1">
        <f t="array" ref="E317">_xlfn.IFS(D317&lt;40000,"Low Income",D317&lt;=80000,"Moderate Income",D317&gt;80000,"High Income")</f>
        <v>Moderate Income</v>
      </c>
      <c r="F317">
        <v>0</v>
      </c>
      <c r="G317" t="s">
        <v>15</v>
      </c>
      <c r="H317" t="s">
        <v>23</v>
      </c>
      <c r="I317" t="s">
        <v>20</v>
      </c>
      <c r="J317">
        <v>1</v>
      </c>
      <c r="K317" t="s">
        <v>26</v>
      </c>
      <c r="L317" t="s">
        <v>27</v>
      </c>
      <c r="M317">
        <v>41</v>
      </c>
      <c r="N317" t="str">
        <f t="shared" si="4"/>
        <v>Middle-Aged</v>
      </c>
      <c r="O317" t="s">
        <v>20</v>
      </c>
    </row>
    <row r="318" spans="1:15">
      <c r="A318">
        <v>17352</v>
      </c>
      <c r="B318" t="s">
        <v>63</v>
      </c>
      <c r="C318" t="s">
        <v>49</v>
      </c>
      <c r="D318" s="1">
        <v>50000</v>
      </c>
      <c r="E318" t="str" cm="1">
        <f t="array" ref="E318">_xlfn.IFS(D318&lt;40000,"Low Income",D318&lt;=80000,"Moderate Income",D318&gt;80000,"High Income")</f>
        <v>Moderate Income</v>
      </c>
      <c r="F318">
        <v>2</v>
      </c>
      <c r="G318" t="s">
        <v>34</v>
      </c>
      <c r="H318" t="s">
        <v>31</v>
      </c>
      <c r="I318" t="s">
        <v>17</v>
      </c>
      <c r="J318">
        <v>1</v>
      </c>
      <c r="K318" t="s">
        <v>26</v>
      </c>
      <c r="L318" t="s">
        <v>27</v>
      </c>
      <c r="M318">
        <v>64</v>
      </c>
      <c r="N318" t="str">
        <f t="shared" si="4"/>
        <v>Seniors</v>
      </c>
      <c r="O318" t="s">
        <v>17</v>
      </c>
    </row>
    <row r="319" spans="1:15">
      <c r="A319">
        <v>14154</v>
      </c>
      <c r="B319" t="s">
        <v>63</v>
      </c>
      <c r="C319" t="s">
        <v>49</v>
      </c>
      <c r="D319" s="1">
        <v>30000</v>
      </c>
      <c r="E319" t="str" cm="1">
        <f t="array" ref="E319">_xlfn.IFS(D319&lt;40000,"Low Income",D319&lt;=80000,"Moderate Income",D319&gt;80000,"High Income")</f>
        <v>Low Income</v>
      </c>
      <c r="F319">
        <v>0</v>
      </c>
      <c r="G319" t="s">
        <v>15</v>
      </c>
      <c r="H319" t="s">
        <v>22</v>
      </c>
      <c r="I319" t="s">
        <v>17</v>
      </c>
      <c r="J319">
        <v>0</v>
      </c>
      <c r="K319" t="s">
        <v>18</v>
      </c>
      <c r="L319" t="s">
        <v>19</v>
      </c>
      <c r="M319">
        <v>35</v>
      </c>
      <c r="N319" t="str">
        <f t="shared" si="4"/>
        <v>Middle-Aged</v>
      </c>
      <c r="O319" t="s">
        <v>17</v>
      </c>
    </row>
    <row r="320" spans="1:15">
      <c r="A320">
        <v>19066</v>
      </c>
      <c r="B320" t="s">
        <v>63</v>
      </c>
      <c r="C320" t="s">
        <v>49</v>
      </c>
      <c r="D320" s="1">
        <v>130000</v>
      </c>
      <c r="E320" t="str" cm="1">
        <f t="array" ref="E320">_xlfn.IFS(D320&lt;40000,"Low Income",D320&lt;=80000,"Moderate Income",D320&gt;80000,"High Income")</f>
        <v>High Income</v>
      </c>
      <c r="F320">
        <v>4</v>
      </c>
      <c r="G320" t="s">
        <v>21</v>
      </c>
      <c r="H320" t="s">
        <v>23</v>
      </c>
      <c r="I320" t="s">
        <v>20</v>
      </c>
      <c r="J320">
        <v>3</v>
      </c>
      <c r="K320" t="s">
        <v>61</v>
      </c>
      <c r="L320" t="s">
        <v>19</v>
      </c>
      <c r="M320">
        <v>54</v>
      </c>
      <c r="N320" t="str">
        <f t="shared" si="4"/>
        <v>Middle-Aged</v>
      </c>
      <c r="O320" t="s">
        <v>20</v>
      </c>
    </row>
    <row r="321" spans="1:15">
      <c r="A321">
        <v>11386</v>
      </c>
      <c r="B321" t="s">
        <v>63</v>
      </c>
      <c r="C321" t="s">
        <v>47</v>
      </c>
      <c r="D321" s="1">
        <v>30000</v>
      </c>
      <c r="E321" t="str" cm="1">
        <f t="array" ref="E321">_xlfn.IFS(D321&lt;40000,"Low Income",D321&lt;=80000,"Moderate Income",D321&gt;80000,"High Income")</f>
        <v>Low Income</v>
      </c>
      <c r="F321">
        <v>3</v>
      </c>
      <c r="G321" t="s">
        <v>15</v>
      </c>
      <c r="H321" t="s">
        <v>22</v>
      </c>
      <c r="I321" t="s">
        <v>17</v>
      </c>
      <c r="J321">
        <v>0</v>
      </c>
      <c r="K321" t="s">
        <v>18</v>
      </c>
      <c r="L321" t="s">
        <v>19</v>
      </c>
      <c r="M321">
        <v>45</v>
      </c>
      <c r="N321" t="str">
        <f t="shared" si="4"/>
        <v>Middle-Aged</v>
      </c>
      <c r="O321" t="s">
        <v>20</v>
      </c>
    </row>
    <row r="322" spans="1:15">
      <c r="A322">
        <v>20228</v>
      </c>
      <c r="B322" t="s">
        <v>63</v>
      </c>
      <c r="C322" t="s">
        <v>49</v>
      </c>
      <c r="D322" s="1">
        <v>100000</v>
      </c>
      <c r="E322" t="str" cm="1">
        <f t="array" ref="E322">_xlfn.IFS(D322&lt;40000,"Low Income",D322&lt;=80000,"Moderate Income",D322&gt;80000,"High Income")</f>
        <v>High Income</v>
      </c>
      <c r="F322">
        <v>0</v>
      </c>
      <c r="G322" t="s">
        <v>34</v>
      </c>
      <c r="H322" t="s">
        <v>31</v>
      </c>
      <c r="I322" t="s">
        <v>17</v>
      </c>
      <c r="J322">
        <v>0</v>
      </c>
      <c r="K322" t="s">
        <v>24</v>
      </c>
      <c r="L322" t="s">
        <v>27</v>
      </c>
      <c r="M322">
        <v>40</v>
      </c>
      <c r="N322" t="str">
        <f t="shared" si="4"/>
        <v>Middle-Aged</v>
      </c>
      <c r="O322" t="s">
        <v>17</v>
      </c>
    </row>
    <row r="323" spans="1:15">
      <c r="A323">
        <v>16675</v>
      </c>
      <c r="B323" t="s">
        <v>64</v>
      </c>
      <c r="C323" t="s">
        <v>47</v>
      </c>
      <c r="D323" s="1">
        <v>160000</v>
      </c>
      <c r="E323" t="str" cm="1">
        <f t="array" ref="E323">_xlfn.IFS(D323&lt;40000,"Low Income",D323&lt;=80000,"Moderate Income",D323&gt;80000,"High Income")</f>
        <v>High Income</v>
      </c>
      <c r="F323">
        <v>0</v>
      </c>
      <c r="G323" t="s">
        <v>34</v>
      </c>
      <c r="H323" t="s">
        <v>31</v>
      </c>
      <c r="I323" t="s">
        <v>20</v>
      </c>
      <c r="J323">
        <v>3</v>
      </c>
      <c r="K323" t="s">
        <v>18</v>
      </c>
      <c r="L323" t="s">
        <v>27</v>
      </c>
      <c r="M323">
        <v>47</v>
      </c>
      <c r="N323" t="str">
        <f t="shared" ref="N323:N386" si="5">IF(M323&gt;=60,"Seniors",IF(M323&gt;30,"Middle-Aged",IF(M323&lt;=30,"Young Adults")))</f>
        <v>Middle-Aged</v>
      </c>
      <c r="O323" t="s">
        <v>17</v>
      </c>
    </row>
    <row r="324" spans="1:15">
      <c r="A324">
        <v>16410</v>
      </c>
      <c r="B324" t="s">
        <v>64</v>
      </c>
      <c r="C324" t="s">
        <v>47</v>
      </c>
      <c r="D324" s="1">
        <v>10000</v>
      </c>
      <c r="E324" t="str" cm="1">
        <f t="array" ref="E324">_xlfn.IFS(D324&lt;40000,"Low Income",D324&lt;=80000,"Moderate Income",D324&gt;80000,"High Income")</f>
        <v>Low Income</v>
      </c>
      <c r="F324">
        <v>4</v>
      </c>
      <c r="G324" t="s">
        <v>32</v>
      </c>
      <c r="H324" t="s">
        <v>28</v>
      </c>
      <c r="I324" t="s">
        <v>17</v>
      </c>
      <c r="J324">
        <v>2</v>
      </c>
      <c r="K324" t="s">
        <v>18</v>
      </c>
      <c r="L324" t="s">
        <v>19</v>
      </c>
      <c r="M324">
        <v>41</v>
      </c>
      <c r="N324" t="str">
        <f t="shared" si="5"/>
        <v>Middle-Aged</v>
      </c>
      <c r="O324" t="s">
        <v>17</v>
      </c>
    </row>
    <row r="325" spans="1:15">
      <c r="A325">
        <v>27760</v>
      </c>
      <c r="B325" t="s">
        <v>64</v>
      </c>
      <c r="C325" t="s">
        <v>47</v>
      </c>
      <c r="D325" s="1">
        <v>40000</v>
      </c>
      <c r="E325" t="str" cm="1">
        <f t="array" ref="E325">_xlfn.IFS(D325&lt;40000,"Low Income",D325&lt;=80000,"Moderate Income",D325&gt;80000,"High Income")</f>
        <v>Moderate Income</v>
      </c>
      <c r="F325">
        <v>0</v>
      </c>
      <c r="G325" t="s">
        <v>34</v>
      </c>
      <c r="H325" t="s">
        <v>22</v>
      </c>
      <c r="I325" t="s">
        <v>20</v>
      </c>
      <c r="J325">
        <v>0</v>
      </c>
      <c r="K325" t="s">
        <v>18</v>
      </c>
      <c r="L325" t="s">
        <v>19</v>
      </c>
      <c r="M325">
        <v>37</v>
      </c>
      <c r="N325" t="str">
        <f t="shared" si="5"/>
        <v>Middle-Aged</v>
      </c>
      <c r="O325" t="s">
        <v>17</v>
      </c>
    </row>
    <row r="326" spans="1:15">
      <c r="A326">
        <v>22930</v>
      </c>
      <c r="B326" t="s">
        <v>63</v>
      </c>
      <c r="C326" t="s">
        <v>49</v>
      </c>
      <c r="D326" s="1">
        <v>90000</v>
      </c>
      <c r="E326" t="str" cm="1">
        <f t="array" ref="E326">_xlfn.IFS(D326&lt;40000,"Low Income",D326&lt;=80000,"Moderate Income",D326&gt;80000,"High Income")</f>
        <v>High Income</v>
      </c>
      <c r="F326">
        <v>4</v>
      </c>
      <c r="G326" t="s">
        <v>15</v>
      </c>
      <c r="H326" t="s">
        <v>23</v>
      </c>
      <c r="I326" t="s">
        <v>17</v>
      </c>
      <c r="J326">
        <v>0</v>
      </c>
      <c r="K326" t="s">
        <v>29</v>
      </c>
      <c r="L326" t="s">
        <v>27</v>
      </c>
      <c r="M326">
        <v>38</v>
      </c>
      <c r="N326" t="str">
        <f t="shared" si="5"/>
        <v>Middle-Aged</v>
      </c>
      <c r="O326" t="s">
        <v>17</v>
      </c>
    </row>
    <row r="327" spans="1:15">
      <c r="A327">
        <v>23780</v>
      </c>
      <c r="B327" t="s">
        <v>64</v>
      </c>
      <c r="C327" t="s">
        <v>49</v>
      </c>
      <c r="D327" s="1">
        <v>40000</v>
      </c>
      <c r="E327" t="str" cm="1">
        <f t="array" ref="E327">_xlfn.IFS(D327&lt;40000,"Low Income",D327&lt;=80000,"Moderate Income",D327&gt;80000,"High Income")</f>
        <v>Moderate Income</v>
      </c>
      <c r="F327">
        <v>2</v>
      </c>
      <c r="G327" t="s">
        <v>21</v>
      </c>
      <c r="H327" t="s">
        <v>22</v>
      </c>
      <c r="I327" t="s">
        <v>20</v>
      </c>
      <c r="J327">
        <v>2</v>
      </c>
      <c r="K327" t="s">
        <v>18</v>
      </c>
      <c r="L327" t="s">
        <v>19</v>
      </c>
      <c r="M327">
        <v>36</v>
      </c>
      <c r="N327" t="str">
        <f t="shared" si="5"/>
        <v>Middle-Aged</v>
      </c>
      <c r="O327" t="s">
        <v>17</v>
      </c>
    </row>
    <row r="328" spans="1:15">
      <c r="A328">
        <v>20994</v>
      </c>
      <c r="B328" t="s">
        <v>63</v>
      </c>
      <c r="C328" t="s">
        <v>47</v>
      </c>
      <c r="D328" s="1">
        <v>20000</v>
      </c>
      <c r="E328" t="str" cm="1">
        <f t="array" ref="E328">_xlfn.IFS(D328&lt;40000,"Low Income",D328&lt;=80000,"Moderate Income",D328&gt;80000,"High Income")</f>
        <v>Low Income</v>
      </c>
      <c r="F328">
        <v>0</v>
      </c>
      <c r="G328" t="s">
        <v>15</v>
      </c>
      <c r="H328" t="s">
        <v>22</v>
      </c>
      <c r="I328" t="s">
        <v>20</v>
      </c>
      <c r="J328">
        <v>0</v>
      </c>
      <c r="K328" t="s">
        <v>18</v>
      </c>
      <c r="L328" t="s">
        <v>27</v>
      </c>
      <c r="M328">
        <v>26</v>
      </c>
      <c r="N328" t="str">
        <f t="shared" si="5"/>
        <v>Young Adults</v>
      </c>
      <c r="O328" t="s">
        <v>17</v>
      </c>
    </row>
    <row r="329" spans="1:15">
      <c r="A329">
        <v>28379</v>
      </c>
      <c r="B329" t="s">
        <v>63</v>
      </c>
      <c r="C329" t="s">
        <v>49</v>
      </c>
      <c r="D329" s="1">
        <v>30000</v>
      </c>
      <c r="E329" t="str" cm="1">
        <f t="array" ref="E329">_xlfn.IFS(D329&lt;40000,"Low Income",D329&lt;=80000,"Moderate Income",D329&gt;80000,"High Income")</f>
        <v>Low Income</v>
      </c>
      <c r="F329">
        <v>1</v>
      </c>
      <c r="G329" t="s">
        <v>15</v>
      </c>
      <c r="H329" t="s">
        <v>16</v>
      </c>
      <c r="I329" t="s">
        <v>17</v>
      </c>
      <c r="J329">
        <v>2</v>
      </c>
      <c r="K329" t="s">
        <v>18</v>
      </c>
      <c r="L329" t="s">
        <v>19</v>
      </c>
      <c r="M329">
        <v>40</v>
      </c>
      <c r="N329" t="str">
        <f t="shared" si="5"/>
        <v>Middle-Aged</v>
      </c>
      <c r="O329" t="s">
        <v>20</v>
      </c>
    </row>
    <row r="330" spans="1:15">
      <c r="A330">
        <v>14865</v>
      </c>
      <c r="B330" t="s">
        <v>64</v>
      </c>
      <c r="C330" t="s">
        <v>49</v>
      </c>
      <c r="D330" s="1">
        <v>40000</v>
      </c>
      <c r="E330" t="str" cm="1">
        <f t="array" ref="E330">_xlfn.IFS(D330&lt;40000,"Low Income",D330&lt;=80000,"Moderate Income",D330&gt;80000,"High Income")</f>
        <v>Moderate Income</v>
      </c>
      <c r="F330">
        <v>2</v>
      </c>
      <c r="G330" t="s">
        <v>21</v>
      </c>
      <c r="H330" t="s">
        <v>22</v>
      </c>
      <c r="I330" t="s">
        <v>17</v>
      </c>
      <c r="J330">
        <v>2</v>
      </c>
      <c r="K330" t="s">
        <v>29</v>
      </c>
      <c r="L330" t="s">
        <v>19</v>
      </c>
      <c r="M330">
        <v>36</v>
      </c>
      <c r="N330" t="str">
        <f t="shared" si="5"/>
        <v>Middle-Aged</v>
      </c>
      <c r="O330" t="s">
        <v>20</v>
      </c>
    </row>
    <row r="331" spans="1:15">
      <c r="A331">
        <v>12663</v>
      </c>
      <c r="B331" t="s">
        <v>63</v>
      </c>
      <c r="C331" t="s">
        <v>47</v>
      </c>
      <c r="D331" s="1">
        <v>90000</v>
      </c>
      <c r="E331" t="str" cm="1">
        <f t="array" ref="E331">_xlfn.IFS(D331&lt;40000,"Low Income",D331&lt;=80000,"Moderate Income",D331&gt;80000,"High Income")</f>
        <v>High Income</v>
      </c>
      <c r="F331">
        <v>5</v>
      </c>
      <c r="G331" t="s">
        <v>32</v>
      </c>
      <c r="H331" t="s">
        <v>16</v>
      </c>
      <c r="I331" t="s">
        <v>17</v>
      </c>
      <c r="J331">
        <v>2</v>
      </c>
      <c r="K331" t="s">
        <v>61</v>
      </c>
      <c r="L331" t="s">
        <v>19</v>
      </c>
      <c r="M331">
        <v>59</v>
      </c>
      <c r="N331" t="str">
        <f t="shared" si="5"/>
        <v>Middle-Aged</v>
      </c>
      <c r="O331" t="s">
        <v>20</v>
      </c>
    </row>
    <row r="332" spans="1:15">
      <c r="A332">
        <v>24898</v>
      </c>
      <c r="B332" t="s">
        <v>64</v>
      </c>
      <c r="C332" t="s">
        <v>47</v>
      </c>
      <c r="D332" s="1">
        <v>80000</v>
      </c>
      <c r="E332" t="str" cm="1">
        <f t="array" ref="E332">_xlfn.IFS(D332&lt;40000,"Low Income",D332&lt;=80000,"Moderate Income",D332&gt;80000,"High Income")</f>
        <v>Moderate Income</v>
      </c>
      <c r="F332">
        <v>0</v>
      </c>
      <c r="G332" t="s">
        <v>15</v>
      </c>
      <c r="H332" t="s">
        <v>23</v>
      </c>
      <c r="I332" t="s">
        <v>17</v>
      </c>
      <c r="J332">
        <v>3</v>
      </c>
      <c r="K332" t="s">
        <v>61</v>
      </c>
      <c r="L332" t="s">
        <v>27</v>
      </c>
      <c r="M332">
        <v>32</v>
      </c>
      <c r="N332" t="str">
        <f t="shared" si="5"/>
        <v>Middle-Aged</v>
      </c>
      <c r="O332" t="s">
        <v>20</v>
      </c>
    </row>
    <row r="333" spans="1:15">
      <c r="A333">
        <v>19508</v>
      </c>
      <c r="B333" t="s">
        <v>63</v>
      </c>
      <c r="C333" t="s">
        <v>49</v>
      </c>
      <c r="D333" s="1">
        <v>10000</v>
      </c>
      <c r="E333" t="str" cm="1">
        <f t="array" ref="E333">_xlfn.IFS(D333&lt;40000,"Low Income",D333&lt;=80000,"Moderate Income",D333&gt;80000,"High Income")</f>
        <v>Low Income</v>
      </c>
      <c r="F333">
        <v>0</v>
      </c>
      <c r="G333" t="s">
        <v>32</v>
      </c>
      <c r="H333" t="s">
        <v>28</v>
      </c>
      <c r="I333" t="s">
        <v>20</v>
      </c>
      <c r="J333">
        <v>2</v>
      </c>
      <c r="K333" t="s">
        <v>18</v>
      </c>
      <c r="L333" t="s">
        <v>19</v>
      </c>
      <c r="M333">
        <v>30</v>
      </c>
      <c r="N333" t="str">
        <f t="shared" si="5"/>
        <v>Young Adults</v>
      </c>
      <c r="O333" t="s">
        <v>20</v>
      </c>
    </row>
    <row r="334" spans="1:15">
      <c r="A334">
        <v>11489</v>
      </c>
      <c r="B334" t="s">
        <v>64</v>
      </c>
      <c r="C334" t="s">
        <v>47</v>
      </c>
      <c r="D334" s="1">
        <v>20000</v>
      </c>
      <c r="E334" t="str" cm="1">
        <f t="array" ref="E334">_xlfn.IFS(D334&lt;40000,"Low Income",D334&lt;=80000,"Moderate Income",D334&gt;80000,"High Income")</f>
        <v>Low Income</v>
      </c>
      <c r="F334">
        <v>0</v>
      </c>
      <c r="G334" t="s">
        <v>32</v>
      </c>
      <c r="H334" t="s">
        <v>28</v>
      </c>
      <c r="I334" t="s">
        <v>20</v>
      </c>
      <c r="J334">
        <v>2</v>
      </c>
      <c r="K334" t="s">
        <v>29</v>
      </c>
      <c r="L334" t="s">
        <v>19</v>
      </c>
      <c r="M334">
        <v>35</v>
      </c>
      <c r="N334" t="str">
        <f t="shared" si="5"/>
        <v>Middle-Aged</v>
      </c>
      <c r="O334" t="s">
        <v>17</v>
      </c>
    </row>
    <row r="335" spans="1:15">
      <c r="A335">
        <v>18160</v>
      </c>
      <c r="B335" t="s">
        <v>63</v>
      </c>
      <c r="C335" t="s">
        <v>49</v>
      </c>
      <c r="D335" s="1">
        <v>130000</v>
      </c>
      <c r="E335" t="str" cm="1">
        <f t="array" ref="E335">_xlfn.IFS(D335&lt;40000,"Low Income",D335&lt;=80000,"Moderate Income",D335&gt;80000,"High Income")</f>
        <v>High Income</v>
      </c>
      <c r="F335">
        <v>3</v>
      </c>
      <c r="G335" t="s">
        <v>30</v>
      </c>
      <c r="H335" t="s">
        <v>23</v>
      </c>
      <c r="I335" t="s">
        <v>17</v>
      </c>
      <c r="J335">
        <v>4</v>
      </c>
      <c r="K335" t="s">
        <v>26</v>
      </c>
      <c r="L335" t="s">
        <v>19</v>
      </c>
      <c r="M335">
        <v>51</v>
      </c>
      <c r="N335" t="str">
        <f t="shared" si="5"/>
        <v>Middle-Aged</v>
      </c>
      <c r="O335" t="s">
        <v>17</v>
      </c>
    </row>
    <row r="336" spans="1:15">
      <c r="A336">
        <v>25241</v>
      </c>
      <c r="B336" t="s">
        <v>63</v>
      </c>
      <c r="C336" t="s">
        <v>49</v>
      </c>
      <c r="D336" s="1">
        <v>90000</v>
      </c>
      <c r="E336" t="str" cm="1">
        <f t="array" ref="E336">_xlfn.IFS(D336&lt;40000,"Low Income",D336&lt;=80000,"Moderate Income",D336&gt;80000,"High Income")</f>
        <v>High Income</v>
      </c>
      <c r="F336">
        <v>2</v>
      </c>
      <c r="G336" t="s">
        <v>15</v>
      </c>
      <c r="H336" t="s">
        <v>23</v>
      </c>
      <c r="I336" t="s">
        <v>17</v>
      </c>
      <c r="J336">
        <v>1</v>
      </c>
      <c r="K336" t="s">
        <v>26</v>
      </c>
      <c r="L336" t="s">
        <v>27</v>
      </c>
      <c r="M336">
        <v>47</v>
      </c>
      <c r="N336" t="str">
        <f t="shared" si="5"/>
        <v>Middle-Aged</v>
      </c>
      <c r="O336" t="s">
        <v>20</v>
      </c>
    </row>
    <row r="337" spans="1:15">
      <c r="A337">
        <v>24369</v>
      </c>
      <c r="B337" t="s">
        <v>63</v>
      </c>
      <c r="C337" t="s">
        <v>49</v>
      </c>
      <c r="D337" s="1">
        <v>80000</v>
      </c>
      <c r="E337" t="str" cm="1">
        <f t="array" ref="E337">_xlfn.IFS(D337&lt;40000,"Low Income",D337&lt;=80000,"Moderate Income",D337&gt;80000,"High Income")</f>
        <v>Moderate Income</v>
      </c>
      <c r="F337">
        <v>5</v>
      </c>
      <c r="G337" t="s">
        <v>34</v>
      </c>
      <c r="H337" t="s">
        <v>31</v>
      </c>
      <c r="I337" t="s">
        <v>20</v>
      </c>
      <c r="J337">
        <v>2</v>
      </c>
      <c r="K337" t="s">
        <v>18</v>
      </c>
      <c r="L337" t="s">
        <v>27</v>
      </c>
      <c r="M337">
        <v>39</v>
      </c>
      <c r="N337" t="str">
        <f t="shared" si="5"/>
        <v>Middle-Aged</v>
      </c>
      <c r="O337" t="s">
        <v>20</v>
      </c>
    </row>
    <row r="338" spans="1:15">
      <c r="A338">
        <v>27165</v>
      </c>
      <c r="B338" t="s">
        <v>64</v>
      </c>
      <c r="C338" t="s">
        <v>49</v>
      </c>
      <c r="D338" s="1">
        <v>20000</v>
      </c>
      <c r="E338" t="str" cm="1">
        <f t="array" ref="E338">_xlfn.IFS(D338&lt;40000,"Low Income",D338&lt;=80000,"Moderate Income",D338&gt;80000,"High Income")</f>
        <v>Low Income</v>
      </c>
      <c r="F338">
        <v>0</v>
      </c>
      <c r="G338" t="s">
        <v>32</v>
      </c>
      <c r="H338" t="s">
        <v>28</v>
      </c>
      <c r="I338" t="s">
        <v>20</v>
      </c>
      <c r="J338">
        <v>2</v>
      </c>
      <c r="K338" t="s">
        <v>18</v>
      </c>
      <c r="L338" t="s">
        <v>19</v>
      </c>
      <c r="M338">
        <v>34</v>
      </c>
      <c r="N338" t="str">
        <f t="shared" si="5"/>
        <v>Middle-Aged</v>
      </c>
      <c r="O338" t="s">
        <v>20</v>
      </c>
    </row>
    <row r="339" spans="1:15">
      <c r="A339">
        <v>29424</v>
      </c>
      <c r="B339" t="s">
        <v>63</v>
      </c>
      <c r="C339" t="s">
        <v>49</v>
      </c>
      <c r="D339" s="1">
        <v>10000</v>
      </c>
      <c r="E339" t="str" cm="1">
        <f t="array" ref="E339">_xlfn.IFS(D339&lt;40000,"Low Income",D339&lt;=80000,"Moderate Income",D339&gt;80000,"High Income")</f>
        <v>Low Income</v>
      </c>
      <c r="F339">
        <v>0</v>
      </c>
      <c r="G339" t="s">
        <v>32</v>
      </c>
      <c r="H339" t="s">
        <v>28</v>
      </c>
      <c r="I339" t="s">
        <v>17</v>
      </c>
      <c r="J339">
        <v>2</v>
      </c>
      <c r="K339" t="s">
        <v>18</v>
      </c>
      <c r="L339" t="s">
        <v>19</v>
      </c>
      <c r="M339">
        <v>32</v>
      </c>
      <c r="N339" t="str">
        <f t="shared" si="5"/>
        <v>Middle-Aged</v>
      </c>
      <c r="O339" t="s">
        <v>20</v>
      </c>
    </row>
    <row r="340" spans="1:15">
      <c r="A340">
        <v>15926</v>
      </c>
      <c r="B340" t="s">
        <v>64</v>
      </c>
      <c r="C340" t="s">
        <v>47</v>
      </c>
      <c r="D340" s="1">
        <v>120000</v>
      </c>
      <c r="E340" t="str" cm="1">
        <f t="array" ref="E340">_xlfn.IFS(D340&lt;40000,"Low Income",D340&lt;=80000,"Moderate Income",D340&gt;80000,"High Income")</f>
        <v>High Income</v>
      </c>
      <c r="F340">
        <v>3</v>
      </c>
      <c r="G340" t="s">
        <v>30</v>
      </c>
      <c r="H340" t="s">
        <v>23</v>
      </c>
      <c r="I340" t="s">
        <v>17</v>
      </c>
      <c r="J340">
        <v>4</v>
      </c>
      <c r="K340" t="s">
        <v>26</v>
      </c>
      <c r="L340" t="s">
        <v>19</v>
      </c>
      <c r="M340">
        <v>50</v>
      </c>
      <c r="N340" t="str">
        <f t="shared" si="5"/>
        <v>Middle-Aged</v>
      </c>
      <c r="O340" t="s">
        <v>17</v>
      </c>
    </row>
    <row r="341" spans="1:15">
      <c r="A341">
        <v>14554</v>
      </c>
      <c r="B341" t="s">
        <v>63</v>
      </c>
      <c r="C341" t="s">
        <v>49</v>
      </c>
      <c r="D341" s="1">
        <v>20000</v>
      </c>
      <c r="E341" t="str" cm="1">
        <f t="array" ref="E341">_xlfn.IFS(D341&lt;40000,"Low Income",D341&lt;=80000,"Moderate Income",D341&gt;80000,"High Income")</f>
        <v>Low Income</v>
      </c>
      <c r="F341">
        <v>1</v>
      </c>
      <c r="G341" t="s">
        <v>15</v>
      </c>
      <c r="H341" t="s">
        <v>22</v>
      </c>
      <c r="I341" t="s">
        <v>17</v>
      </c>
      <c r="J341">
        <v>0</v>
      </c>
      <c r="K341" t="s">
        <v>18</v>
      </c>
      <c r="L341" t="s">
        <v>19</v>
      </c>
      <c r="M341">
        <v>66</v>
      </c>
      <c r="N341" t="str">
        <f t="shared" si="5"/>
        <v>Seniors</v>
      </c>
      <c r="O341" t="s">
        <v>20</v>
      </c>
    </row>
    <row r="342" spans="1:15">
      <c r="A342">
        <v>16468</v>
      </c>
      <c r="B342" t="s">
        <v>64</v>
      </c>
      <c r="C342" t="s">
        <v>49</v>
      </c>
      <c r="D342" s="1">
        <v>30000</v>
      </c>
      <c r="E342" t="str" cm="1">
        <f t="array" ref="E342">_xlfn.IFS(D342&lt;40000,"Low Income",D342&lt;=80000,"Moderate Income",D342&gt;80000,"High Income")</f>
        <v>Low Income</v>
      </c>
      <c r="F342">
        <v>0</v>
      </c>
      <c r="G342" t="s">
        <v>21</v>
      </c>
      <c r="H342" t="s">
        <v>22</v>
      </c>
      <c r="I342" t="s">
        <v>17</v>
      </c>
      <c r="J342">
        <v>1</v>
      </c>
      <c r="K342" t="s">
        <v>24</v>
      </c>
      <c r="L342" t="s">
        <v>19</v>
      </c>
      <c r="M342">
        <v>30</v>
      </c>
      <c r="N342" t="str">
        <f t="shared" si="5"/>
        <v>Young Adults</v>
      </c>
      <c r="O342" t="s">
        <v>20</v>
      </c>
    </row>
    <row r="343" spans="1:15">
      <c r="A343">
        <v>19174</v>
      </c>
      <c r="B343" t="s">
        <v>64</v>
      </c>
      <c r="C343" t="s">
        <v>47</v>
      </c>
      <c r="D343" s="1">
        <v>30000</v>
      </c>
      <c r="E343" t="str" cm="1">
        <f t="array" ref="E343">_xlfn.IFS(D343&lt;40000,"Low Income",D343&lt;=80000,"Moderate Income",D343&gt;80000,"High Income")</f>
        <v>Low Income</v>
      </c>
      <c r="F343">
        <v>0</v>
      </c>
      <c r="G343" t="s">
        <v>30</v>
      </c>
      <c r="H343" t="s">
        <v>28</v>
      </c>
      <c r="I343" t="s">
        <v>20</v>
      </c>
      <c r="J343">
        <v>1</v>
      </c>
      <c r="K343" t="s">
        <v>24</v>
      </c>
      <c r="L343" t="s">
        <v>19</v>
      </c>
      <c r="M343">
        <v>32</v>
      </c>
      <c r="N343" t="str">
        <f t="shared" si="5"/>
        <v>Middle-Aged</v>
      </c>
      <c r="O343" t="s">
        <v>17</v>
      </c>
    </row>
    <row r="344" spans="1:15">
      <c r="A344">
        <v>19183</v>
      </c>
      <c r="B344" t="s">
        <v>64</v>
      </c>
      <c r="C344" t="s">
        <v>49</v>
      </c>
      <c r="D344" s="1">
        <v>10000</v>
      </c>
      <c r="E344" t="str" cm="1">
        <f t="array" ref="E344">_xlfn.IFS(D344&lt;40000,"Low Income",D344&lt;=80000,"Moderate Income",D344&gt;80000,"High Income")</f>
        <v>Low Income</v>
      </c>
      <c r="F344">
        <v>0</v>
      </c>
      <c r="G344" t="s">
        <v>32</v>
      </c>
      <c r="H344" t="s">
        <v>28</v>
      </c>
      <c r="I344" t="s">
        <v>17</v>
      </c>
      <c r="J344">
        <v>2</v>
      </c>
      <c r="K344" t="s">
        <v>29</v>
      </c>
      <c r="L344" t="s">
        <v>19</v>
      </c>
      <c r="M344">
        <v>35</v>
      </c>
      <c r="N344" t="str">
        <f t="shared" si="5"/>
        <v>Middle-Aged</v>
      </c>
      <c r="O344" t="s">
        <v>20</v>
      </c>
    </row>
    <row r="345" spans="1:15">
      <c r="A345">
        <v>13683</v>
      </c>
      <c r="B345" t="s">
        <v>64</v>
      </c>
      <c r="C345" t="s">
        <v>47</v>
      </c>
      <c r="D345" s="1">
        <v>30000</v>
      </c>
      <c r="E345" t="str" cm="1">
        <f t="array" ref="E345">_xlfn.IFS(D345&lt;40000,"Low Income",D345&lt;=80000,"Moderate Income",D345&gt;80000,"High Income")</f>
        <v>Low Income</v>
      </c>
      <c r="F345">
        <v>0</v>
      </c>
      <c r="G345" t="s">
        <v>30</v>
      </c>
      <c r="H345" t="s">
        <v>28</v>
      </c>
      <c r="I345" t="s">
        <v>20</v>
      </c>
      <c r="J345">
        <v>1</v>
      </c>
      <c r="K345" t="s">
        <v>24</v>
      </c>
      <c r="L345" t="s">
        <v>19</v>
      </c>
      <c r="M345">
        <v>32</v>
      </c>
      <c r="N345" t="str">
        <f t="shared" si="5"/>
        <v>Middle-Aged</v>
      </c>
      <c r="O345" t="s">
        <v>20</v>
      </c>
    </row>
    <row r="346" spans="1:15">
      <c r="A346">
        <v>17848</v>
      </c>
      <c r="B346" t="s">
        <v>64</v>
      </c>
      <c r="C346" t="s">
        <v>49</v>
      </c>
      <c r="D346" s="1">
        <v>30000</v>
      </c>
      <c r="E346" t="str" cm="1">
        <f t="array" ref="E346">_xlfn.IFS(D346&lt;40000,"Low Income",D346&lt;=80000,"Moderate Income",D346&gt;80000,"High Income")</f>
        <v>Low Income</v>
      </c>
      <c r="F346">
        <v>0</v>
      </c>
      <c r="G346" t="s">
        <v>21</v>
      </c>
      <c r="H346" t="s">
        <v>22</v>
      </c>
      <c r="I346" t="s">
        <v>20</v>
      </c>
      <c r="J346">
        <v>1</v>
      </c>
      <c r="K346" t="s">
        <v>24</v>
      </c>
      <c r="L346" t="s">
        <v>19</v>
      </c>
      <c r="M346">
        <v>31</v>
      </c>
      <c r="N346" t="str">
        <f t="shared" si="5"/>
        <v>Middle-Aged</v>
      </c>
      <c r="O346" t="s">
        <v>17</v>
      </c>
    </row>
    <row r="347" spans="1:15">
      <c r="A347">
        <v>17894</v>
      </c>
      <c r="B347" t="s">
        <v>63</v>
      </c>
      <c r="C347" t="s">
        <v>47</v>
      </c>
      <c r="D347" s="1">
        <v>20000</v>
      </c>
      <c r="E347" t="str" cm="1">
        <f t="array" ref="E347">_xlfn.IFS(D347&lt;40000,"Low Income",D347&lt;=80000,"Moderate Income",D347&gt;80000,"High Income")</f>
        <v>Low Income</v>
      </c>
      <c r="F347">
        <v>1</v>
      </c>
      <c r="G347" t="s">
        <v>15</v>
      </c>
      <c r="H347" t="s">
        <v>22</v>
      </c>
      <c r="I347" t="s">
        <v>17</v>
      </c>
      <c r="J347">
        <v>0</v>
      </c>
      <c r="K347" t="s">
        <v>18</v>
      </c>
      <c r="L347" t="s">
        <v>19</v>
      </c>
      <c r="M347">
        <v>50</v>
      </c>
      <c r="N347" t="str">
        <f t="shared" si="5"/>
        <v>Middle-Aged</v>
      </c>
      <c r="O347" t="s">
        <v>17</v>
      </c>
    </row>
    <row r="348" spans="1:15">
      <c r="A348">
        <v>25651</v>
      </c>
      <c r="B348" t="s">
        <v>63</v>
      </c>
      <c r="C348" t="s">
        <v>49</v>
      </c>
      <c r="D348" s="1">
        <v>40000</v>
      </c>
      <c r="E348" t="str" cm="1">
        <f t="array" ref="E348">_xlfn.IFS(D348&lt;40000,"Low Income",D348&lt;=80000,"Moderate Income",D348&gt;80000,"High Income")</f>
        <v>Moderate Income</v>
      </c>
      <c r="F348">
        <v>1</v>
      </c>
      <c r="G348" t="s">
        <v>15</v>
      </c>
      <c r="H348" t="s">
        <v>16</v>
      </c>
      <c r="I348" t="s">
        <v>20</v>
      </c>
      <c r="J348">
        <v>0</v>
      </c>
      <c r="K348" t="s">
        <v>18</v>
      </c>
      <c r="L348" t="s">
        <v>19</v>
      </c>
      <c r="M348">
        <v>43</v>
      </c>
      <c r="N348" t="str">
        <f t="shared" si="5"/>
        <v>Middle-Aged</v>
      </c>
      <c r="O348" t="s">
        <v>17</v>
      </c>
    </row>
    <row r="349" spans="1:15">
      <c r="A349">
        <v>22936</v>
      </c>
      <c r="B349" t="s">
        <v>64</v>
      </c>
      <c r="C349" t="s">
        <v>47</v>
      </c>
      <c r="D349" s="1">
        <v>60000</v>
      </c>
      <c r="E349" t="str" cm="1">
        <f t="array" ref="E349">_xlfn.IFS(D349&lt;40000,"Low Income",D349&lt;=80000,"Moderate Income",D349&gt;80000,"High Income")</f>
        <v>Moderate Income</v>
      </c>
      <c r="F349">
        <v>1</v>
      </c>
      <c r="G349" t="s">
        <v>21</v>
      </c>
      <c r="H349" t="s">
        <v>16</v>
      </c>
      <c r="I349" t="s">
        <v>20</v>
      </c>
      <c r="J349">
        <v>1</v>
      </c>
      <c r="K349" t="s">
        <v>18</v>
      </c>
      <c r="L349" t="s">
        <v>27</v>
      </c>
      <c r="M349">
        <v>45</v>
      </c>
      <c r="N349" t="str">
        <f t="shared" si="5"/>
        <v>Middle-Aged</v>
      </c>
      <c r="O349" t="s">
        <v>17</v>
      </c>
    </row>
    <row r="350" spans="1:15">
      <c r="A350">
        <v>23915</v>
      </c>
      <c r="B350" t="s">
        <v>63</v>
      </c>
      <c r="C350" t="s">
        <v>49</v>
      </c>
      <c r="D350" s="1">
        <v>20000</v>
      </c>
      <c r="E350" t="str" cm="1">
        <f t="array" ref="E350">_xlfn.IFS(D350&lt;40000,"Low Income",D350&lt;=80000,"Moderate Income",D350&gt;80000,"High Income")</f>
        <v>Low Income</v>
      </c>
      <c r="F350">
        <v>2</v>
      </c>
      <c r="G350" t="s">
        <v>30</v>
      </c>
      <c r="H350" t="s">
        <v>28</v>
      </c>
      <c r="I350" t="s">
        <v>17</v>
      </c>
      <c r="J350">
        <v>2</v>
      </c>
      <c r="K350" t="s">
        <v>18</v>
      </c>
      <c r="L350" t="s">
        <v>19</v>
      </c>
      <c r="M350">
        <v>42</v>
      </c>
      <c r="N350" t="str">
        <f t="shared" si="5"/>
        <v>Middle-Aged</v>
      </c>
      <c r="O350" t="s">
        <v>20</v>
      </c>
    </row>
    <row r="351" spans="1:15">
      <c r="A351">
        <v>24121</v>
      </c>
      <c r="B351" t="s">
        <v>64</v>
      </c>
      <c r="C351" t="s">
        <v>47</v>
      </c>
      <c r="D351" s="1">
        <v>30000</v>
      </c>
      <c r="E351" t="str" cm="1">
        <f t="array" ref="E351">_xlfn.IFS(D351&lt;40000,"Low Income",D351&lt;=80000,"Moderate Income",D351&gt;80000,"High Income")</f>
        <v>Low Income</v>
      </c>
      <c r="F351">
        <v>0</v>
      </c>
      <c r="G351" t="s">
        <v>21</v>
      </c>
      <c r="H351" t="s">
        <v>22</v>
      </c>
      <c r="I351" t="s">
        <v>20</v>
      </c>
      <c r="J351">
        <v>1</v>
      </c>
      <c r="K351" t="s">
        <v>18</v>
      </c>
      <c r="L351" t="s">
        <v>19</v>
      </c>
      <c r="M351">
        <v>29</v>
      </c>
      <c r="N351" t="str">
        <f t="shared" si="5"/>
        <v>Young Adults</v>
      </c>
      <c r="O351" t="s">
        <v>17</v>
      </c>
    </row>
    <row r="352" spans="1:15">
      <c r="A352">
        <v>27878</v>
      </c>
      <c r="B352" t="s">
        <v>64</v>
      </c>
      <c r="C352" t="s">
        <v>49</v>
      </c>
      <c r="D352" s="1">
        <v>20000</v>
      </c>
      <c r="E352" t="str" cm="1">
        <f t="array" ref="E352">_xlfn.IFS(D352&lt;40000,"Low Income",D352&lt;=80000,"Moderate Income",D352&gt;80000,"High Income")</f>
        <v>Low Income</v>
      </c>
      <c r="F352">
        <v>0</v>
      </c>
      <c r="G352" t="s">
        <v>21</v>
      </c>
      <c r="H352" t="s">
        <v>28</v>
      </c>
      <c r="I352" t="s">
        <v>20</v>
      </c>
      <c r="J352">
        <v>0</v>
      </c>
      <c r="K352" t="s">
        <v>18</v>
      </c>
      <c r="L352" t="s">
        <v>27</v>
      </c>
      <c r="M352">
        <v>28</v>
      </c>
      <c r="N352" t="str">
        <f t="shared" si="5"/>
        <v>Young Adults</v>
      </c>
      <c r="O352" t="s">
        <v>17</v>
      </c>
    </row>
    <row r="353" spans="1:15">
      <c r="A353">
        <v>13572</v>
      </c>
      <c r="B353" t="s">
        <v>64</v>
      </c>
      <c r="C353" t="s">
        <v>49</v>
      </c>
      <c r="D353" s="1">
        <v>10000</v>
      </c>
      <c r="E353" t="str" cm="1">
        <f t="array" ref="E353">_xlfn.IFS(D353&lt;40000,"Low Income",D353&lt;=80000,"Moderate Income",D353&gt;80000,"High Income")</f>
        <v>Low Income</v>
      </c>
      <c r="F353">
        <v>3</v>
      </c>
      <c r="G353" t="s">
        <v>30</v>
      </c>
      <c r="H353" t="s">
        <v>28</v>
      </c>
      <c r="I353" t="s">
        <v>17</v>
      </c>
      <c r="J353">
        <v>0</v>
      </c>
      <c r="K353" t="s">
        <v>18</v>
      </c>
      <c r="L353" t="s">
        <v>19</v>
      </c>
      <c r="M353">
        <v>37</v>
      </c>
      <c r="N353" t="str">
        <f t="shared" si="5"/>
        <v>Middle-Aged</v>
      </c>
      <c r="O353" t="s">
        <v>17</v>
      </c>
    </row>
    <row r="354" spans="1:15">
      <c r="A354">
        <v>27941</v>
      </c>
      <c r="B354" t="s">
        <v>63</v>
      </c>
      <c r="C354" t="s">
        <v>47</v>
      </c>
      <c r="D354" s="1">
        <v>80000</v>
      </c>
      <c r="E354" t="str" cm="1">
        <f t="array" ref="E354">_xlfn.IFS(D354&lt;40000,"Low Income",D354&lt;=80000,"Moderate Income",D354&gt;80000,"High Income")</f>
        <v>Moderate Income</v>
      </c>
      <c r="F354">
        <v>4</v>
      </c>
      <c r="G354" t="s">
        <v>21</v>
      </c>
      <c r="H354" t="s">
        <v>23</v>
      </c>
      <c r="I354" t="s">
        <v>17</v>
      </c>
      <c r="J354">
        <v>2</v>
      </c>
      <c r="K354" t="s">
        <v>24</v>
      </c>
      <c r="L354" t="s">
        <v>19</v>
      </c>
      <c r="M354">
        <v>53</v>
      </c>
      <c r="N354" t="str">
        <f t="shared" si="5"/>
        <v>Middle-Aged</v>
      </c>
      <c r="O354" t="s">
        <v>20</v>
      </c>
    </row>
    <row r="355" spans="1:15">
      <c r="A355">
        <v>26354</v>
      </c>
      <c r="B355" t="s">
        <v>64</v>
      </c>
      <c r="C355" t="s">
        <v>49</v>
      </c>
      <c r="D355" s="1">
        <v>40000</v>
      </c>
      <c r="E355" t="str" cm="1">
        <f t="array" ref="E355">_xlfn.IFS(D355&lt;40000,"Low Income",D355&lt;=80000,"Moderate Income",D355&gt;80000,"High Income")</f>
        <v>Moderate Income</v>
      </c>
      <c r="F355">
        <v>0</v>
      </c>
      <c r="G355" t="s">
        <v>34</v>
      </c>
      <c r="H355" t="s">
        <v>22</v>
      </c>
      <c r="I355" t="s">
        <v>20</v>
      </c>
      <c r="J355">
        <v>0</v>
      </c>
      <c r="K355" t="s">
        <v>18</v>
      </c>
      <c r="L355" t="s">
        <v>19</v>
      </c>
      <c r="M355">
        <v>38</v>
      </c>
      <c r="N355" t="str">
        <f t="shared" si="5"/>
        <v>Middle-Aged</v>
      </c>
      <c r="O355" t="s">
        <v>17</v>
      </c>
    </row>
    <row r="356" spans="1:15">
      <c r="A356">
        <v>14785</v>
      </c>
      <c r="B356" t="s">
        <v>64</v>
      </c>
      <c r="C356" t="s">
        <v>49</v>
      </c>
      <c r="D356" s="1">
        <v>30000</v>
      </c>
      <c r="E356" t="str" cm="1">
        <f t="array" ref="E356">_xlfn.IFS(D356&lt;40000,"Low Income",D356&lt;=80000,"Moderate Income",D356&gt;80000,"High Income")</f>
        <v>Low Income</v>
      </c>
      <c r="F356">
        <v>1</v>
      </c>
      <c r="G356" t="s">
        <v>15</v>
      </c>
      <c r="H356" t="s">
        <v>22</v>
      </c>
      <c r="I356" t="s">
        <v>20</v>
      </c>
      <c r="J356">
        <v>1</v>
      </c>
      <c r="K356" t="s">
        <v>29</v>
      </c>
      <c r="L356" t="s">
        <v>19</v>
      </c>
      <c r="M356">
        <v>39</v>
      </c>
      <c r="N356" t="str">
        <f t="shared" si="5"/>
        <v>Middle-Aged</v>
      </c>
      <c r="O356" t="s">
        <v>20</v>
      </c>
    </row>
    <row r="357" spans="1:15">
      <c r="A357">
        <v>17238</v>
      </c>
      <c r="B357" t="s">
        <v>64</v>
      </c>
      <c r="C357" t="s">
        <v>49</v>
      </c>
      <c r="D357" s="1">
        <v>80000</v>
      </c>
      <c r="E357" t="str" cm="1">
        <f t="array" ref="E357">_xlfn.IFS(D357&lt;40000,"Low Income",D357&lt;=80000,"Moderate Income",D357&gt;80000,"High Income")</f>
        <v>Moderate Income</v>
      </c>
      <c r="F357">
        <v>0</v>
      </c>
      <c r="G357" t="s">
        <v>15</v>
      </c>
      <c r="H357" t="s">
        <v>23</v>
      </c>
      <c r="I357" t="s">
        <v>17</v>
      </c>
      <c r="J357">
        <v>3</v>
      </c>
      <c r="K357" t="s">
        <v>61</v>
      </c>
      <c r="L357" t="s">
        <v>27</v>
      </c>
      <c r="M357">
        <v>32</v>
      </c>
      <c r="N357" t="str">
        <f t="shared" si="5"/>
        <v>Middle-Aged</v>
      </c>
      <c r="O357" t="s">
        <v>20</v>
      </c>
    </row>
    <row r="358" spans="1:15">
      <c r="A358">
        <v>23608</v>
      </c>
      <c r="B358" t="s">
        <v>63</v>
      </c>
      <c r="C358" t="s">
        <v>47</v>
      </c>
      <c r="D358" s="1">
        <v>150000</v>
      </c>
      <c r="E358" t="str" cm="1">
        <f t="array" ref="E358">_xlfn.IFS(D358&lt;40000,"Low Income",D358&lt;=80000,"Moderate Income",D358&gt;80000,"High Income")</f>
        <v>High Income</v>
      </c>
      <c r="F358">
        <v>3</v>
      </c>
      <c r="G358" t="s">
        <v>30</v>
      </c>
      <c r="H358" t="s">
        <v>23</v>
      </c>
      <c r="I358" t="s">
        <v>17</v>
      </c>
      <c r="J358">
        <v>3</v>
      </c>
      <c r="K358" t="s">
        <v>18</v>
      </c>
      <c r="L358" t="s">
        <v>19</v>
      </c>
      <c r="M358">
        <v>51</v>
      </c>
      <c r="N358" t="str">
        <f t="shared" si="5"/>
        <v>Middle-Aged</v>
      </c>
      <c r="O358" t="s">
        <v>17</v>
      </c>
    </row>
    <row r="359" spans="1:15">
      <c r="A359">
        <v>22538</v>
      </c>
      <c r="B359" t="s">
        <v>64</v>
      </c>
      <c r="C359" t="s">
        <v>47</v>
      </c>
      <c r="D359" s="1">
        <v>10000</v>
      </c>
      <c r="E359" t="str" cm="1">
        <f t="array" ref="E359">_xlfn.IFS(D359&lt;40000,"Low Income",D359&lt;=80000,"Moderate Income",D359&gt;80000,"High Income")</f>
        <v>Low Income</v>
      </c>
      <c r="F359">
        <v>0</v>
      </c>
      <c r="G359" t="s">
        <v>32</v>
      </c>
      <c r="H359" t="s">
        <v>28</v>
      </c>
      <c r="I359" t="s">
        <v>17</v>
      </c>
      <c r="J359">
        <v>2</v>
      </c>
      <c r="K359" t="s">
        <v>29</v>
      </c>
      <c r="L359" t="s">
        <v>19</v>
      </c>
      <c r="M359">
        <v>33</v>
      </c>
      <c r="N359" t="str">
        <f t="shared" si="5"/>
        <v>Middle-Aged</v>
      </c>
      <c r="O359" t="s">
        <v>20</v>
      </c>
    </row>
    <row r="360" spans="1:15">
      <c r="A360">
        <v>12332</v>
      </c>
      <c r="B360" t="s">
        <v>63</v>
      </c>
      <c r="C360" t="s">
        <v>49</v>
      </c>
      <c r="D360" s="1">
        <v>90000</v>
      </c>
      <c r="E360" t="str" cm="1">
        <f t="array" ref="E360">_xlfn.IFS(D360&lt;40000,"Low Income",D360&lt;=80000,"Moderate Income",D360&gt;80000,"High Income")</f>
        <v>High Income</v>
      </c>
      <c r="F360">
        <v>4</v>
      </c>
      <c r="G360" t="s">
        <v>30</v>
      </c>
      <c r="H360" t="s">
        <v>31</v>
      </c>
      <c r="I360" t="s">
        <v>17</v>
      </c>
      <c r="J360">
        <v>3</v>
      </c>
      <c r="K360" t="s">
        <v>26</v>
      </c>
      <c r="L360" t="s">
        <v>19</v>
      </c>
      <c r="M360">
        <v>58</v>
      </c>
      <c r="N360" t="str">
        <f t="shared" si="5"/>
        <v>Middle-Aged</v>
      </c>
      <c r="O360" t="s">
        <v>17</v>
      </c>
    </row>
    <row r="361" spans="1:15">
      <c r="A361">
        <v>17230</v>
      </c>
      <c r="B361" t="s">
        <v>63</v>
      </c>
      <c r="C361" t="s">
        <v>49</v>
      </c>
      <c r="D361" s="1">
        <v>80000</v>
      </c>
      <c r="E361" t="str" cm="1">
        <f t="array" ref="E361">_xlfn.IFS(D361&lt;40000,"Low Income",D361&lt;=80000,"Moderate Income",D361&gt;80000,"High Income")</f>
        <v>Moderate Income</v>
      </c>
      <c r="F361">
        <v>0</v>
      </c>
      <c r="G361" t="s">
        <v>15</v>
      </c>
      <c r="H361" t="s">
        <v>23</v>
      </c>
      <c r="I361" t="s">
        <v>17</v>
      </c>
      <c r="J361">
        <v>3</v>
      </c>
      <c r="K361" t="s">
        <v>61</v>
      </c>
      <c r="L361" t="s">
        <v>27</v>
      </c>
      <c r="M361">
        <v>30</v>
      </c>
      <c r="N361" t="str">
        <f t="shared" si="5"/>
        <v>Young Adults</v>
      </c>
      <c r="O361" t="s">
        <v>20</v>
      </c>
    </row>
    <row r="362" spans="1:15">
      <c r="A362">
        <v>13082</v>
      </c>
      <c r="B362" t="s">
        <v>64</v>
      </c>
      <c r="C362" t="s">
        <v>49</v>
      </c>
      <c r="D362" s="1">
        <v>130000</v>
      </c>
      <c r="E362" t="str" cm="1">
        <f t="array" ref="E362">_xlfn.IFS(D362&lt;40000,"Low Income",D362&lt;=80000,"Moderate Income",D362&gt;80000,"High Income")</f>
        <v>High Income</v>
      </c>
      <c r="F362">
        <v>0</v>
      </c>
      <c r="G362" t="s">
        <v>34</v>
      </c>
      <c r="H362" t="s">
        <v>31</v>
      </c>
      <c r="I362" t="s">
        <v>17</v>
      </c>
      <c r="J362">
        <v>0</v>
      </c>
      <c r="K362" t="s">
        <v>24</v>
      </c>
      <c r="L362" t="s">
        <v>27</v>
      </c>
      <c r="M362">
        <v>48</v>
      </c>
      <c r="N362" t="str">
        <f t="shared" si="5"/>
        <v>Middle-Aged</v>
      </c>
      <c r="O362" t="s">
        <v>17</v>
      </c>
    </row>
    <row r="363" spans="1:15">
      <c r="A363">
        <v>22518</v>
      </c>
      <c r="B363" t="s">
        <v>64</v>
      </c>
      <c r="C363" t="s">
        <v>47</v>
      </c>
      <c r="D363" s="1">
        <v>30000</v>
      </c>
      <c r="E363" t="str" cm="1">
        <f t="array" ref="E363">_xlfn.IFS(D363&lt;40000,"Low Income",D363&lt;=80000,"Moderate Income",D363&gt;80000,"High Income")</f>
        <v>Low Income</v>
      </c>
      <c r="F363">
        <v>3</v>
      </c>
      <c r="G363" t="s">
        <v>21</v>
      </c>
      <c r="H363" t="s">
        <v>22</v>
      </c>
      <c r="I363" t="s">
        <v>20</v>
      </c>
      <c r="J363">
        <v>2</v>
      </c>
      <c r="K363" t="s">
        <v>18</v>
      </c>
      <c r="L363" t="s">
        <v>19</v>
      </c>
      <c r="M363">
        <v>27</v>
      </c>
      <c r="N363" t="str">
        <f t="shared" si="5"/>
        <v>Young Adults</v>
      </c>
      <c r="O363" t="s">
        <v>17</v>
      </c>
    </row>
    <row r="364" spans="1:15">
      <c r="A364">
        <v>13687</v>
      </c>
      <c r="B364" t="s">
        <v>63</v>
      </c>
      <c r="C364" t="s">
        <v>49</v>
      </c>
      <c r="D364" s="1">
        <v>40000</v>
      </c>
      <c r="E364" t="str" cm="1">
        <f t="array" ref="E364">_xlfn.IFS(D364&lt;40000,"Low Income",D364&lt;=80000,"Moderate Income",D364&gt;80000,"High Income")</f>
        <v>Moderate Income</v>
      </c>
      <c r="F364">
        <v>1</v>
      </c>
      <c r="G364" t="s">
        <v>15</v>
      </c>
      <c r="H364" t="s">
        <v>16</v>
      </c>
      <c r="I364" t="s">
        <v>17</v>
      </c>
      <c r="J364">
        <v>1</v>
      </c>
      <c r="K364" t="s">
        <v>18</v>
      </c>
      <c r="L364" t="s">
        <v>19</v>
      </c>
      <c r="M364">
        <v>33</v>
      </c>
      <c r="N364" t="str">
        <f t="shared" si="5"/>
        <v>Middle-Aged</v>
      </c>
      <c r="O364" t="s">
        <v>17</v>
      </c>
    </row>
    <row r="365" spans="1:15">
      <c r="A365">
        <v>23571</v>
      </c>
      <c r="B365" t="s">
        <v>63</v>
      </c>
      <c r="C365" t="s">
        <v>47</v>
      </c>
      <c r="D365" s="1">
        <v>40000</v>
      </c>
      <c r="E365" t="str" cm="1">
        <f t="array" ref="E365">_xlfn.IFS(D365&lt;40000,"Low Income",D365&lt;=80000,"Moderate Income",D365&gt;80000,"High Income")</f>
        <v>Moderate Income</v>
      </c>
      <c r="F365">
        <v>2</v>
      </c>
      <c r="G365" t="s">
        <v>15</v>
      </c>
      <c r="H365" t="s">
        <v>31</v>
      </c>
      <c r="I365" t="s">
        <v>17</v>
      </c>
      <c r="J365">
        <v>2</v>
      </c>
      <c r="K365" t="s">
        <v>18</v>
      </c>
      <c r="L365" t="s">
        <v>27</v>
      </c>
      <c r="M365">
        <v>66</v>
      </c>
      <c r="N365" t="str">
        <f t="shared" si="5"/>
        <v>Seniors</v>
      </c>
      <c r="O365" t="s">
        <v>17</v>
      </c>
    </row>
    <row r="366" spans="1:15">
      <c r="A366">
        <v>19305</v>
      </c>
      <c r="B366" t="s">
        <v>64</v>
      </c>
      <c r="C366" t="s">
        <v>47</v>
      </c>
      <c r="D366" s="1">
        <v>10000</v>
      </c>
      <c r="E366" t="str" cm="1">
        <f t="array" ref="E366">_xlfn.IFS(D366&lt;40000,"Low Income",D366&lt;=80000,"Moderate Income",D366&gt;80000,"High Income")</f>
        <v>Low Income</v>
      </c>
      <c r="F366">
        <v>2</v>
      </c>
      <c r="G366" t="s">
        <v>30</v>
      </c>
      <c r="H366" t="s">
        <v>28</v>
      </c>
      <c r="I366" t="s">
        <v>17</v>
      </c>
      <c r="J366">
        <v>1</v>
      </c>
      <c r="K366" t="s">
        <v>18</v>
      </c>
      <c r="L366" t="s">
        <v>19</v>
      </c>
      <c r="M366">
        <v>38</v>
      </c>
      <c r="N366" t="str">
        <f t="shared" si="5"/>
        <v>Middle-Aged</v>
      </c>
      <c r="O366" t="s">
        <v>17</v>
      </c>
    </row>
    <row r="367" spans="1:15">
      <c r="A367">
        <v>22636</v>
      </c>
      <c r="B367" t="s">
        <v>64</v>
      </c>
      <c r="C367" t="s">
        <v>47</v>
      </c>
      <c r="D367" s="1">
        <v>40000</v>
      </c>
      <c r="E367" t="str" cm="1">
        <f t="array" ref="E367">_xlfn.IFS(D367&lt;40000,"Low Income",D367&lt;=80000,"Moderate Income",D367&gt;80000,"High Income")</f>
        <v>Moderate Income</v>
      </c>
      <c r="F367">
        <v>0</v>
      </c>
      <c r="G367" t="s">
        <v>15</v>
      </c>
      <c r="H367" t="s">
        <v>22</v>
      </c>
      <c r="I367" t="s">
        <v>20</v>
      </c>
      <c r="J367">
        <v>0</v>
      </c>
      <c r="K367" t="s">
        <v>18</v>
      </c>
      <c r="L367" t="s">
        <v>19</v>
      </c>
      <c r="M367">
        <v>38</v>
      </c>
      <c r="N367" t="str">
        <f t="shared" si="5"/>
        <v>Middle-Aged</v>
      </c>
      <c r="O367" t="s">
        <v>17</v>
      </c>
    </row>
    <row r="368" spans="1:15">
      <c r="A368">
        <v>17310</v>
      </c>
      <c r="B368" t="s">
        <v>63</v>
      </c>
      <c r="C368" t="s">
        <v>49</v>
      </c>
      <c r="D368" s="1">
        <v>60000</v>
      </c>
      <c r="E368" t="str" cm="1">
        <f t="array" ref="E368">_xlfn.IFS(D368&lt;40000,"Low Income",D368&lt;=80000,"Moderate Income",D368&gt;80000,"High Income")</f>
        <v>Moderate Income</v>
      </c>
      <c r="F368">
        <v>1</v>
      </c>
      <c r="G368" t="s">
        <v>21</v>
      </c>
      <c r="H368" t="s">
        <v>16</v>
      </c>
      <c r="I368" t="s">
        <v>17</v>
      </c>
      <c r="J368">
        <v>1</v>
      </c>
      <c r="K368" t="s">
        <v>18</v>
      </c>
      <c r="L368" t="s">
        <v>27</v>
      </c>
      <c r="M368">
        <v>45</v>
      </c>
      <c r="N368" t="str">
        <f t="shared" si="5"/>
        <v>Middle-Aged</v>
      </c>
      <c r="O368" t="s">
        <v>17</v>
      </c>
    </row>
    <row r="369" spans="1:15">
      <c r="A369">
        <v>12133</v>
      </c>
      <c r="B369" t="s">
        <v>63</v>
      </c>
      <c r="C369" t="s">
        <v>47</v>
      </c>
      <c r="D369" s="1">
        <v>130000</v>
      </c>
      <c r="E369" t="str" cm="1">
        <f t="array" ref="E369">_xlfn.IFS(D369&lt;40000,"Low Income",D369&lt;=80000,"Moderate Income",D369&gt;80000,"High Income")</f>
        <v>High Income</v>
      </c>
      <c r="F369">
        <v>3</v>
      </c>
      <c r="G369" t="s">
        <v>21</v>
      </c>
      <c r="H369" t="s">
        <v>23</v>
      </c>
      <c r="I369" t="s">
        <v>17</v>
      </c>
      <c r="J369">
        <v>3</v>
      </c>
      <c r="K369" t="s">
        <v>26</v>
      </c>
      <c r="L369" t="s">
        <v>19</v>
      </c>
      <c r="M369">
        <v>50</v>
      </c>
      <c r="N369" t="str">
        <f t="shared" si="5"/>
        <v>Middle-Aged</v>
      </c>
      <c r="O369" t="s">
        <v>17</v>
      </c>
    </row>
    <row r="370" spans="1:15">
      <c r="A370">
        <v>25918</v>
      </c>
      <c r="B370" t="s">
        <v>64</v>
      </c>
      <c r="C370" t="s">
        <v>47</v>
      </c>
      <c r="D370" s="1">
        <v>30000</v>
      </c>
      <c r="E370" t="str" cm="1">
        <f t="array" ref="E370">_xlfn.IFS(D370&lt;40000,"Low Income",D370&lt;=80000,"Moderate Income",D370&gt;80000,"High Income")</f>
        <v>Low Income</v>
      </c>
      <c r="F370">
        <v>2</v>
      </c>
      <c r="G370" t="s">
        <v>21</v>
      </c>
      <c r="H370" t="s">
        <v>22</v>
      </c>
      <c r="I370" t="s">
        <v>20</v>
      </c>
      <c r="J370">
        <v>2</v>
      </c>
      <c r="K370" t="s">
        <v>26</v>
      </c>
      <c r="L370" t="s">
        <v>27</v>
      </c>
      <c r="M370">
        <v>60</v>
      </c>
      <c r="N370" t="str">
        <f t="shared" si="5"/>
        <v>Seniors</v>
      </c>
      <c r="O370" t="s">
        <v>17</v>
      </c>
    </row>
    <row r="371" spans="1:15">
      <c r="A371">
        <v>25752</v>
      </c>
      <c r="B371" t="s">
        <v>64</v>
      </c>
      <c r="C371" t="s">
        <v>47</v>
      </c>
      <c r="D371" s="1">
        <v>20000</v>
      </c>
      <c r="E371" t="str" cm="1">
        <f t="array" ref="E371">_xlfn.IFS(D371&lt;40000,"Low Income",D371&lt;=80000,"Moderate Income",D371&gt;80000,"High Income")</f>
        <v>Low Income</v>
      </c>
      <c r="F371">
        <v>2</v>
      </c>
      <c r="G371" t="s">
        <v>21</v>
      </c>
      <c r="H371" t="s">
        <v>28</v>
      </c>
      <c r="I371" t="s">
        <v>20</v>
      </c>
      <c r="J371">
        <v>1</v>
      </c>
      <c r="K371" t="s">
        <v>18</v>
      </c>
      <c r="L371" t="s">
        <v>19</v>
      </c>
      <c r="M371">
        <v>53</v>
      </c>
      <c r="N371" t="str">
        <f t="shared" si="5"/>
        <v>Middle-Aged</v>
      </c>
      <c r="O371" t="s">
        <v>17</v>
      </c>
    </row>
    <row r="372" spans="1:15">
      <c r="A372">
        <v>17324</v>
      </c>
      <c r="B372" t="s">
        <v>63</v>
      </c>
      <c r="C372" t="s">
        <v>47</v>
      </c>
      <c r="D372" s="1">
        <v>100000</v>
      </c>
      <c r="E372" t="str" cm="1">
        <f t="array" ref="E372">_xlfn.IFS(D372&lt;40000,"Low Income",D372&lt;=80000,"Moderate Income",D372&gt;80000,"High Income")</f>
        <v>High Income</v>
      </c>
      <c r="F372">
        <v>4</v>
      </c>
      <c r="G372" t="s">
        <v>15</v>
      </c>
      <c r="H372" t="s">
        <v>23</v>
      </c>
      <c r="I372" t="s">
        <v>17</v>
      </c>
      <c r="J372">
        <v>1</v>
      </c>
      <c r="K372" t="s">
        <v>61</v>
      </c>
      <c r="L372" t="s">
        <v>27</v>
      </c>
      <c r="M372">
        <v>46</v>
      </c>
      <c r="N372" t="str">
        <f t="shared" si="5"/>
        <v>Middle-Aged</v>
      </c>
      <c r="O372" t="s">
        <v>20</v>
      </c>
    </row>
    <row r="373" spans="1:15">
      <c r="A373">
        <v>22918</v>
      </c>
      <c r="B373" t="s">
        <v>64</v>
      </c>
      <c r="C373" t="s">
        <v>49</v>
      </c>
      <c r="D373" s="1">
        <v>80000</v>
      </c>
      <c r="E373" t="str" cm="1">
        <f t="array" ref="E373">_xlfn.IFS(D373&lt;40000,"Low Income",D373&lt;=80000,"Moderate Income",D373&gt;80000,"High Income")</f>
        <v>Moderate Income</v>
      </c>
      <c r="F373">
        <v>5</v>
      </c>
      <c r="G373" t="s">
        <v>34</v>
      </c>
      <c r="H373" t="s">
        <v>31</v>
      </c>
      <c r="I373" t="s">
        <v>17</v>
      </c>
      <c r="J373">
        <v>3</v>
      </c>
      <c r="K373" t="s">
        <v>18</v>
      </c>
      <c r="L373" t="s">
        <v>27</v>
      </c>
      <c r="M373">
        <v>50</v>
      </c>
      <c r="N373" t="str">
        <f t="shared" si="5"/>
        <v>Middle-Aged</v>
      </c>
      <c r="O373" t="s">
        <v>20</v>
      </c>
    </row>
    <row r="374" spans="1:15">
      <c r="A374">
        <v>12510</v>
      </c>
      <c r="B374" t="s">
        <v>63</v>
      </c>
      <c r="C374" t="s">
        <v>49</v>
      </c>
      <c r="D374" s="1">
        <v>40000</v>
      </c>
      <c r="E374" t="str" cm="1">
        <f t="array" ref="E374">_xlfn.IFS(D374&lt;40000,"Low Income",D374&lt;=80000,"Moderate Income",D374&gt;80000,"High Income")</f>
        <v>Moderate Income</v>
      </c>
      <c r="F374">
        <v>1</v>
      </c>
      <c r="G374" t="s">
        <v>15</v>
      </c>
      <c r="H374" t="s">
        <v>16</v>
      </c>
      <c r="I374" t="s">
        <v>17</v>
      </c>
      <c r="J374">
        <v>1</v>
      </c>
      <c r="K374" t="s">
        <v>18</v>
      </c>
      <c r="L374" t="s">
        <v>19</v>
      </c>
      <c r="M374">
        <v>43</v>
      </c>
      <c r="N374" t="str">
        <f t="shared" si="5"/>
        <v>Middle-Aged</v>
      </c>
      <c r="O374" t="s">
        <v>17</v>
      </c>
    </row>
    <row r="375" spans="1:15">
      <c r="A375">
        <v>25512</v>
      </c>
      <c r="B375" t="s">
        <v>64</v>
      </c>
      <c r="C375" t="s">
        <v>49</v>
      </c>
      <c r="D375" s="1">
        <v>20000</v>
      </c>
      <c r="E375" t="str" cm="1">
        <f t="array" ref="E375">_xlfn.IFS(D375&lt;40000,"Low Income",D375&lt;=80000,"Moderate Income",D375&gt;80000,"High Income")</f>
        <v>Low Income</v>
      </c>
      <c r="F375">
        <v>0</v>
      </c>
      <c r="G375" t="s">
        <v>30</v>
      </c>
      <c r="H375" t="s">
        <v>28</v>
      </c>
      <c r="I375" t="s">
        <v>20</v>
      </c>
      <c r="J375">
        <v>1</v>
      </c>
      <c r="K375" t="s">
        <v>24</v>
      </c>
      <c r="L375" t="s">
        <v>19</v>
      </c>
      <c r="M375">
        <v>30</v>
      </c>
      <c r="N375" t="str">
        <f t="shared" si="5"/>
        <v>Young Adults</v>
      </c>
      <c r="O375" t="s">
        <v>20</v>
      </c>
    </row>
    <row r="376" spans="1:15">
      <c r="A376">
        <v>16179</v>
      </c>
      <c r="B376" t="s">
        <v>64</v>
      </c>
      <c r="C376" t="s">
        <v>47</v>
      </c>
      <c r="D376" s="1">
        <v>80000</v>
      </c>
      <c r="E376" t="str" cm="1">
        <f t="array" ref="E376">_xlfn.IFS(D376&lt;40000,"Low Income",D376&lt;=80000,"Moderate Income",D376&gt;80000,"High Income")</f>
        <v>Moderate Income</v>
      </c>
      <c r="F376">
        <v>5</v>
      </c>
      <c r="G376" t="s">
        <v>15</v>
      </c>
      <c r="H376" t="s">
        <v>23</v>
      </c>
      <c r="I376" t="s">
        <v>17</v>
      </c>
      <c r="J376">
        <v>4</v>
      </c>
      <c r="K376" t="s">
        <v>29</v>
      </c>
      <c r="L376" t="s">
        <v>27</v>
      </c>
      <c r="M376">
        <v>38</v>
      </c>
      <c r="N376" t="str">
        <f t="shared" si="5"/>
        <v>Middle-Aged</v>
      </c>
      <c r="O376" t="s">
        <v>20</v>
      </c>
    </row>
    <row r="377" spans="1:15">
      <c r="A377">
        <v>15628</v>
      </c>
      <c r="B377" t="s">
        <v>63</v>
      </c>
      <c r="C377" t="s">
        <v>47</v>
      </c>
      <c r="D377" s="1">
        <v>40000</v>
      </c>
      <c r="E377" t="str" cm="1">
        <f t="array" ref="E377">_xlfn.IFS(D377&lt;40000,"Low Income",D377&lt;=80000,"Moderate Income",D377&gt;80000,"High Income")</f>
        <v>Moderate Income</v>
      </c>
      <c r="F377">
        <v>1</v>
      </c>
      <c r="G377" t="s">
        <v>15</v>
      </c>
      <c r="H377" t="s">
        <v>16</v>
      </c>
      <c r="I377" t="s">
        <v>17</v>
      </c>
      <c r="J377">
        <v>1</v>
      </c>
      <c r="K377" t="s">
        <v>18</v>
      </c>
      <c r="L377" t="s">
        <v>19</v>
      </c>
      <c r="M377">
        <v>89</v>
      </c>
      <c r="N377" t="str">
        <f t="shared" si="5"/>
        <v>Seniors</v>
      </c>
      <c r="O377" t="s">
        <v>20</v>
      </c>
    </row>
    <row r="378" spans="1:15">
      <c r="A378">
        <v>20977</v>
      </c>
      <c r="B378" t="s">
        <v>63</v>
      </c>
      <c r="C378" t="s">
        <v>49</v>
      </c>
      <c r="D378" s="1">
        <v>20000</v>
      </c>
      <c r="E378" t="str" cm="1">
        <f t="array" ref="E378">_xlfn.IFS(D378&lt;40000,"Low Income",D378&lt;=80000,"Moderate Income",D378&gt;80000,"High Income")</f>
        <v>Low Income</v>
      </c>
      <c r="F378">
        <v>1</v>
      </c>
      <c r="G378" t="s">
        <v>15</v>
      </c>
      <c r="H378" t="s">
        <v>22</v>
      </c>
      <c r="I378" t="s">
        <v>17</v>
      </c>
      <c r="J378">
        <v>0</v>
      </c>
      <c r="K378" t="s">
        <v>18</v>
      </c>
      <c r="L378" t="s">
        <v>19</v>
      </c>
      <c r="M378">
        <v>64</v>
      </c>
      <c r="N378" t="str">
        <f t="shared" si="5"/>
        <v>Seniors</v>
      </c>
      <c r="O378" t="s">
        <v>17</v>
      </c>
    </row>
    <row r="379" spans="1:15">
      <c r="A379">
        <v>18140</v>
      </c>
      <c r="B379" t="s">
        <v>63</v>
      </c>
      <c r="C379" t="s">
        <v>49</v>
      </c>
      <c r="D379" s="1">
        <v>130000</v>
      </c>
      <c r="E379" t="str" cm="1">
        <f t="array" ref="E379">_xlfn.IFS(D379&lt;40000,"Low Income",D379&lt;=80000,"Moderate Income",D379&gt;80000,"High Income")</f>
        <v>High Income</v>
      </c>
      <c r="F379">
        <v>3</v>
      </c>
      <c r="G379" t="s">
        <v>21</v>
      </c>
      <c r="H379" t="s">
        <v>23</v>
      </c>
      <c r="I379" t="s">
        <v>20</v>
      </c>
      <c r="J379">
        <v>3</v>
      </c>
      <c r="K379" t="s">
        <v>26</v>
      </c>
      <c r="L379" t="s">
        <v>19</v>
      </c>
      <c r="M379">
        <v>51</v>
      </c>
      <c r="N379" t="str">
        <f t="shared" si="5"/>
        <v>Middle-Aged</v>
      </c>
      <c r="O379" t="s">
        <v>17</v>
      </c>
    </row>
    <row r="380" spans="1:15">
      <c r="A380">
        <v>20417</v>
      </c>
      <c r="B380" t="s">
        <v>63</v>
      </c>
      <c r="C380" t="s">
        <v>49</v>
      </c>
      <c r="D380" s="1">
        <v>30000</v>
      </c>
      <c r="E380" t="str" cm="1">
        <f t="array" ref="E380">_xlfn.IFS(D380&lt;40000,"Low Income",D380&lt;=80000,"Moderate Income",D380&gt;80000,"High Income")</f>
        <v>Low Income</v>
      </c>
      <c r="F380">
        <v>3</v>
      </c>
      <c r="G380" t="s">
        <v>21</v>
      </c>
      <c r="H380" t="s">
        <v>22</v>
      </c>
      <c r="I380" t="s">
        <v>20</v>
      </c>
      <c r="J380">
        <v>2</v>
      </c>
      <c r="K380" t="s">
        <v>26</v>
      </c>
      <c r="L380" t="s">
        <v>27</v>
      </c>
      <c r="M380">
        <v>56</v>
      </c>
      <c r="N380" t="str">
        <f t="shared" si="5"/>
        <v>Middle-Aged</v>
      </c>
      <c r="O380" t="s">
        <v>20</v>
      </c>
    </row>
    <row r="381" spans="1:15">
      <c r="A381">
        <v>18267</v>
      </c>
      <c r="B381" t="s">
        <v>63</v>
      </c>
      <c r="C381" t="s">
        <v>49</v>
      </c>
      <c r="D381" s="1">
        <v>60000</v>
      </c>
      <c r="E381" t="str" cm="1">
        <f t="array" ref="E381">_xlfn.IFS(D381&lt;40000,"Low Income",D381&lt;=80000,"Moderate Income",D381&gt;80000,"High Income")</f>
        <v>Moderate Income</v>
      </c>
      <c r="F381">
        <v>3</v>
      </c>
      <c r="G381" t="s">
        <v>15</v>
      </c>
      <c r="H381" t="s">
        <v>23</v>
      </c>
      <c r="I381" t="s">
        <v>17</v>
      </c>
      <c r="J381">
        <v>2</v>
      </c>
      <c r="K381" t="s">
        <v>26</v>
      </c>
      <c r="L381" t="s">
        <v>27</v>
      </c>
      <c r="M381">
        <v>43</v>
      </c>
      <c r="N381" t="str">
        <f t="shared" si="5"/>
        <v>Middle-Aged</v>
      </c>
      <c r="O381" t="s">
        <v>20</v>
      </c>
    </row>
    <row r="382" spans="1:15">
      <c r="A382">
        <v>13620</v>
      </c>
      <c r="B382" t="s">
        <v>64</v>
      </c>
      <c r="C382" t="s">
        <v>49</v>
      </c>
      <c r="D382" s="1">
        <v>70000</v>
      </c>
      <c r="E382" t="str" cm="1">
        <f t="array" ref="E382">_xlfn.IFS(D382&lt;40000,"Low Income",D382&lt;=80000,"Moderate Income",D382&gt;80000,"High Income")</f>
        <v>Moderate Income</v>
      </c>
      <c r="F382">
        <v>0</v>
      </c>
      <c r="G382" t="s">
        <v>15</v>
      </c>
      <c r="H382" t="s">
        <v>23</v>
      </c>
      <c r="I382" t="s">
        <v>20</v>
      </c>
      <c r="J382">
        <v>3</v>
      </c>
      <c r="K382" t="s">
        <v>61</v>
      </c>
      <c r="L382" t="s">
        <v>27</v>
      </c>
      <c r="M382">
        <v>30</v>
      </c>
      <c r="N382" t="str">
        <f t="shared" si="5"/>
        <v>Young Adults</v>
      </c>
      <c r="O382" t="s">
        <v>17</v>
      </c>
    </row>
    <row r="383" spans="1:15">
      <c r="A383">
        <v>22974</v>
      </c>
      <c r="B383" t="s">
        <v>63</v>
      </c>
      <c r="C383" t="s">
        <v>47</v>
      </c>
      <c r="D383" s="1">
        <v>30000</v>
      </c>
      <c r="E383" t="str" cm="1">
        <f t="array" ref="E383">_xlfn.IFS(D383&lt;40000,"Low Income",D383&lt;=80000,"Moderate Income",D383&gt;80000,"High Income")</f>
        <v>Low Income</v>
      </c>
      <c r="F383">
        <v>2</v>
      </c>
      <c r="G383" t="s">
        <v>21</v>
      </c>
      <c r="H383" t="s">
        <v>22</v>
      </c>
      <c r="I383" t="s">
        <v>17</v>
      </c>
      <c r="J383">
        <v>2</v>
      </c>
      <c r="K383" t="s">
        <v>26</v>
      </c>
      <c r="L383" t="s">
        <v>27</v>
      </c>
      <c r="M383">
        <v>69</v>
      </c>
      <c r="N383" t="str">
        <f t="shared" si="5"/>
        <v>Seniors</v>
      </c>
      <c r="O383" t="s">
        <v>20</v>
      </c>
    </row>
    <row r="384" spans="1:15">
      <c r="A384">
        <v>13586</v>
      </c>
      <c r="B384" t="s">
        <v>63</v>
      </c>
      <c r="C384" t="s">
        <v>49</v>
      </c>
      <c r="D384" s="1">
        <v>80000</v>
      </c>
      <c r="E384" t="str" cm="1">
        <f t="array" ref="E384">_xlfn.IFS(D384&lt;40000,"Low Income",D384&lt;=80000,"Moderate Income",D384&gt;80000,"High Income")</f>
        <v>Moderate Income</v>
      </c>
      <c r="F384">
        <v>4</v>
      </c>
      <c r="G384" t="s">
        <v>21</v>
      </c>
      <c r="H384" t="s">
        <v>23</v>
      </c>
      <c r="I384" t="s">
        <v>17</v>
      </c>
      <c r="J384">
        <v>2</v>
      </c>
      <c r="K384" t="s">
        <v>61</v>
      </c>
      <c r="L384" t="s">
        <v>19</v>
      </c>
      <c r="M384">
        <v>53</v>
      </c>
      <c r="N384" t="str">
        <f t="shared" si="5"/>
        <v>Middle-Aged</v>
      </c>
      <c r="O384" t="s">
        <v>20</v>
      </c>
    </row>
    <row r="385" spans="1:15">
      <c r="A385">
        <v>17978</v>
      </c>
      <c r="B385" t="s">
        <v>63</v>
      </c>
      <c r="C385" t="s">
        <v>49</v>
      </c>
      <c r="D385" s="1">
        <v>40000</v>
      </c>
      <c r="E385" t="str" cm="1">
        <f t="array" ref="E385">_xlfn.IFS(D385&lt;40000,"Low Income",D385&lt;=80000,"Moderate Income",D385&gt;80000,"High Income")</f>
        <v>Moderate Income</v>
      </c>
      <c r="F385">
        <v>0</v>
      </c>
      <c r="G385" t="s">
        <v>34</v>
      </c>
      <c r="H385" t="s">
        <v>22</v>
      </c>
      <c r="I385" t="s">
        <v>17</v>
      </c>
      <c r="J385">
        <v>0</v>
      </c>
      <c r="K385" t="s">
        <v>18</v>
      </c>
      <c r="L385" t="s">
        <v>19</v>
      </c>
      <c r="M385">
        <v>37</v>
      </c>
      <c r="N385" t="str">
        <f t="shared" si="5"/>
        <v>Middle-Aged</v>
      </c>
      <c r="O385" t="s">
        <v>17</v>
      </c>
    </row>
    <row r="386" spans="1:15">
      <c r="A386">
        <v>12581</v>
      </c>
      <c r="B386" t="s">
        <v>64</v>
      </c>
      <c r="C386" t="s">
        <v>47</v>
      </c>
      <c r="D386" s="1">
        <v>10000</v>
      </c>
      <c r="E386" t="str" cm="1">
        <f t="array" ref="E386">_xlfn.IFS(D386&lt;40000,"Low Income",D386&lt;=80000,"Moderate Income",D386&gt;80000,"High Income")</f>
        <v>Low Income</v>
      </c>
      <c r="F386">
        <v>0</v>
      </c>
      <c r="G386" t="s">
        <v>21</v>
      </c>
      <c r="H386" t="s">
        <v>28</v>
      </c>
      <c r="I386" t="s">
        <v>20</v>
      </c>
      <c r="J386">
        <v>1</v>
      </c>
      <c r="K386" t="s">
        <v>18</v>
      </c>
      <c r="L386" t="s">
        <v>27</v>
      </c>
      <c r="M386">
        <v>28</v>
      </c>
      <c r="N386" t="str">
        <f t="shared" si="5"/>
        <v>Young Adults</v>
      </c>
      <c r="O386" t="s">
        <v>17</v>
      </c>
    </row>
    <row r="387" spans="1:15">
      <c r="A387">
        <v>18018</v>
      </c>
      <c r="B387" t="s">
        <v>64</v>
      </c>
      <c r="C387" t="s">
        <v>49</v>
      </c>
      <c r="D387" s="1">
        <v>30000</v>
      </c>
      <c r="E387" t="str" cm="1">
        <f t="array" ref="E387">_xlfn.IFS(D387&lt;40000,"Low Income",D387&lt;=80000,"Moderate Income",D387&gt;80000,"High Income")</f>
        <v>Low Income</v>
      </c>
      <c r="F387">
        <v>3</v>
      </c>
      <c r="G387" t="s">
        <v>21</v>
      </c>
      <c r="H387" t="s">
        <v>22</v>
      </c>
      <c r="I387" t="s">
        <v>17</v>
      </c>
      <c r="J387">
        <v>0</v>
      </c>
      <c r="K387" t="s">
        <v>18</v>
      </c>
      <c r="L387" t="s">
        <v>19</v>
      </c>
      <c r="M387">
        <v>43</v>
      </c>
      <c r="N387" t="str">
        <f t="shared" ref="N387:N450" si="6">IF(M387&gt;=60,"Seniors",IF(M387&gt;30,"Middle-Aged",IF(M387&lt;=30,"Young Adults")))</f>
        <v>Middle-Aged</v>
      </c>
      <c r="O387" t="s">
        <v>20</v>
      </c>
    </row>
    <row r="388" spans="1:15">
      <c r="A388">
        <v>28957</v>
      </c>
      <c r="B388" t="s">
        <v>64</v>
      </c>
      <c r="C388" t="s">
        <v>47</v>
      </c>
      <c r="D388" s="1">
        <v>120000</v>
      </c>
      <c r="E388" t="str" cm="1">
        <f t="array" ref="E388">_xlfn.IFS(D388&lt;40000,"Low Income",D388&lt;=80000,"Moderate Income",D388&gt;80000,"High Income")</f>
        <v>High Income</v>
      </c>
      <c r="F388">
        <v>0</v>
      </c>
      <c r="G388" t="s">
        <v>32</v>
      </c>
      <c r="H388" t="s">
        <v>23</v>
      </c>
      <c r="I388" t="s">
        <v>17</v>
      </c>
      <c r="J388">
        <v>4</v>
      </c>
      <c r="K388" t="s">
        <v>61</v>
      </c>
      <c r="L388" t="s">
        <v>27</v>
      </c>
      <c r="M388">
        <v>34</v>
      </c>
      <c r="N388" t="str">
        <f t="shared" si="6"/>
        <v>Middle-Aged</v>
      </c>
      <c r="O388" t="s">
        <v>17</v>
      </c>
    </row>
    <row r="389" spans="1:15">
      <c r="A389">
        <v>13690</v>
      </c>
      <c r="B389" t="s">
        <v>64</v>
      </c>
      <c r="C389" t="s">
        <v>47</v>
      </c>
      <c r="D389" s="1">
        <v>20000</v>
      </c>
      <c r="E389" t="str" cm="1">
        <f t="array" ref="E389">_xlfn.IFS(D389&lt;40000,"Low Income",D389&lt;=80000,"Moderate Income",D389&gt;80000,"High Income")</f>
        <v>Low Income</v>
      </c>
      <c r="F389">
        <v>0</v>
      </c>
      <c r="G389" t="s">
        <v>32</v>
      </c>
      <c r="H389" t="s">
        <v>28</v>
      </c>
      <c r="I389" t="s">
        <v>20</v>
      </c>
      <c r="J389">
        <v>2</v>
      </c>
      <c r="K389" t="s">
        <v>29</v>
      </c>
      <c r="L389" t="s">
        <v>19</v>
      </c>
      <c r="M389">
        <v>34</v>
      </c>
      <c r="N389" t="str">
        <f t="shared" si="6"/>
        <v>Middle-Aged</v>
      </c>
      <c r="O389" t="s">
        <v>17</v>
      </c>
    </row>
    <row r="390" spans="1:15">
      <c r="A390">
        <v>12568</v>
      </c>
      <c r="B390" t="s">
        <v>63</v>
      </c>
      <c r="C390" t="s">
        <v>47</v>
      </c>
      <c r="D390" s="1">
        <v>30000</v>
      </c>
      <c r="E390" t="str" cm="1">
        <f t="array" ref="E390">_xlfn.IFS(D390&lt;40000,"Low Income",D390&lt;=80000,"Moderate Income",D390&gt;80000,"High Income")</f>
        <v>Low Income</v>
      </c>
      <c r="F390">
        <v>1</v>
      </c>
      <c r="G390" t="s">
        <v>15</v>
      </c>
      <c r="H390" t="s">
        <v>22</v>
      </c>
      <c r="I390" t="s">
        <v>17</v>
      </c>
      <c r="J390">
        <v>0</v>
      </c>
      <c r="K390" t="s">
        <v>18</v>
      </c>
      <c r="L390" t="s">
        <v>19</v>
      </c>
      <c r="M390">
        <v>64</v>
      </c>
      <c r="N390" t="str">
        <f t="shared" si="6"/>
        <v>Seniors</v>
      </c>
      <c r="O390" t="s">
        <v>20</v>
      </c>
    </row>
    <row r="391" spans="1:15">
      <c r="A391">
        <v>13122</v>
      </c>
      <c r="B391" t="s">
        <v>63</v>
      </c>
      <c r="C391" t="s">
        <v>47</v>
      </c>
      <c r="D391" s="1">
        <v>80000</v>
      </c>
      <c r="E391" t="str" cm="1">
        <f t="array" ref="E391">_xlfn.IFS(D391&lt;40000,"Low Income",D391&lt;=80000,"Moderate Income",D391&gt;80000,"High Income")</f>
        <v>Moderate Income</v>
      </c>
      <c r="F391">
        <v>0</v>
      </c>
      <c r="G391" t="s">
        <v>15</v>
      </c>
      <c r="H391" t="s">
        <v>23</v>
      </c>
      <c r="I391" t="s">
        <v>17</v>
      </c>
      <c r="J391">
        <v>1</v>
      </c>
      <c r="K391" t="s">
        <v>29</v>
      </c>
      <c r="L391" t="s">
        <v>27</v>
      </c>
      <c r="M391">
        <v>41</v>
      </c>
      <c r="N391" t="str">
        <f t="shared" si="6"/>
        <v>Middle-Aged</v>
      </c>
      <c r="O391" t="s">
        <v>17</v>
      </c>
    </row>
    <row r="392" spans="1:15">
      <c r="A392">
        <v>21184</v>
      </c>
      <c r="B392" t="s">
        <v>64</v>
      </c>
      <c r="C392" t="s">
        <v>49</v>
      </c>
      <c r="D392" s="1">
        <v>70000</v>
      </c>
      <c r="E392" t="str" cm="1">
        <f t="array" ref="E392">_xlfn.IFS(D392&lt;40000,"Low Income",D392&lt;=80000,"Moderate Income",D392&gt;80000,"High Income")</f>
        <v>Moderate Income</v>
      </c>
      <c r="F392">
        <v>0</v>
      </c>
      <c r="G392" t="s">
        <v>15</v>
      </c>
      <c r="H392" t="s">
        <v>23</v>
      </c>
      <c r="I392" t="s">
        <v>20</v>
      </c>
      <c r="J392">
        <v>1</v>
      </c>
      <c r="K392" t="s">
        <v>26</v>
      </c>
      <c r="L392" t="s">
        <v>27</v>
      </c>
      <c r="M392">
        <v>38</v>
      </c>
      <c r="N392" t="str">
        <f t="shared" si="6"/>
        <v>Middle-Aged</v>
      </c>
      <c r="O392" t="s">
        <v>20</v>
      </c>
    </row>
    <row r="393" spans="1:15">
      <c r="A393">
        <v>26150</v>
      </c>
      <c r="B393" t="s">
        <v>64</v>
      </c>
      <c r="C393" t="s">
        <v>47</v>
      </c>
      <c r="D393" s="1">
        <v>70000</v>
      </c>
      <c r="E393" t="str" cm="1">
        <f t="array" ref="E393">_xlfn.IFS(D393&lt;40000,"Low Income",D393&lt;=80000,"Moderate Income",D393&gt;80000,"High Income")</f>
        <v>Moderate Income</v>
      </c>
      <c r="F393">
        <v>0</v>
      </c>
      <c r="G393" t="s">
        <v>15</v>
      </c>
      <c r="H393" t="s">
        <v>23</v>
      </c>
      <c r="I393" t="s">
        <v>20</v>
      </c>
      <c r="J393">
        <v>1</v>
      </c>
      <c r="K393" t="s">
        <v>18</v>
      </c>
      <c r="L393" t="s">
        <v>27</v>
      </c>
      <c r="M393">
        <v>41</v>
      </c>
      <c r="N393" t="str">
        <f t="shared" si="6"/>
        <v>Middle-Aged</v>
      </c>
      <c r="O393" t="s">
        <v>17</v>
      </c>
    </row>
    <row r="394" spans="1:15">
      <c r="A394">
        <v>24151</v>
      </c>
      <c r="B394" t="s">
        <v>64</v>
      </c>
      <c r="C394" t="s">
        <v>49</v>
      </c>
      <c r="D394" s="1">
        <v>20000</v>
      </c>
      <c r="E394" t="str" cm="1">
        <f t="array" ref="E394">_xlfn.IFS(D394&lt;40000,"Low Income",D394&lt;=80000,"Moderate Income",D394&gt;80000,"High Income")</f>
        <v>Low Income</v>
      </c>
      <c r="F394">
        <v>1</v>
      </c>
      <c r="G394" t="s">
        <v>15</v>
      </c>
      <c r="H394" t="s">
        <v>22</v>
      </c>
      <c r="I394" t="s">
        <v>20</v>
      </c>
      <c r="J394">
        <v>0</v>
      </c>
      <c r="K394" t="s">
        <v>18</v>
      </c>
      <c r="L394" t="s">
        <v>19</v>
      </c>
      <c r="M394">
        <v>51</v>
      </c>
      <c r="N394" t="str">
        <f t="shared" si="6"/>
        <v>Middle-Aged</v>
      </c>
      <c r="O394" t="s">
        <v>20</v>
      </c>
    </row>
    <row r="395" spans="1:15">
      <c r="A395">
        <v>23962</v>
      </c>
      <c r="B395" t="s">
        <v>63</v>
      </c>
      <c r="C395" t="s">
        <v>47</v>
      </c>
      <c r="D395" s="1">
        <v>10000</v>
      </c>
      <c r="E395" t="str" cm="1">
        <f t="array" ref="E395">_xlfn.IFS(D395&lt;40000,"Low Income",D395&lt;=80000,"Moderate Income",D395&gt;80000,"High Income")</f>
        <v>Low Income</v>
      </c>
      <c r="F395">
        <v>0</v>
      </c>
      <c r="G395" t="s">
        <v>32</v>
      </c>
      <c r="H395" t="s">
        <v>28</v>
      </c>
      <c r="I395" t="s">
        <v>17</v>
      </c>
      <c r="J395">
        <v>2</v>
      </c>
      <c r="K395" t="s">
        <v>29</v>
      </c>
      <c r="L395" t="s">
        <v>19</v>
      </c>
      <c r="M395">
        <v>32</v>
      </c>
      <c r="N395" t="str">
        <f t="shared" si="6"/>
        <v>Middle-Aged</v>
      </c>
      <c r="O395" t="s">
        <v>20</v>
      </c>
    </row>
    <row r="396" spans="1:15">
      <c r="A396">
        <v>17793</v>
      </c>
      <c r="B396" t="s">
        <v>63</v>
      </c>
      <c r="C396" t="s">
        <v>47</v>
      </c>
      <c r="D396" s="1">
        <v>40000</v>
      </c>
      <c r="E396" t="str" cm="1">
        <f t="array" ref="E396">_xlfn.IFS(D396&lt;40000,"Low Income",D396&lt;=80000,"Moderate Income",D396&gt;80000,"High Income")</f>
        <v>Moderate Income</v>
      </c>
      <c r="F396">
        <v>0</v>
      </c>
      <c r="G396" t="s">
        <v>15</v>
      </c>
      <c r="H396" t="s">
        <v>22</v>
      </c>
      <c r="I396" t="s">
        <v>17</v>
      </c>
      <c r="J396">
        <v>0</v>
      </c>
      <c r="K396" t="s">
        <v>18</v>
      </c>
      <c r="L396" t="s">
        <v>19</v>
      </c>
      <c r="M396">
        <v>38</v>
      </c>
      <c r="N396" t="str">
        <f t="shared" si="6"/>
        <v>Middle-Aged</v>
      </c>
      <c r="O396" t="s">
        <v>17</v>
      </c>
    </row>
    <row r="397" spans="1:15">
      <c r="A397">
        <v>14926</v>
      </c>
      <c r="B397" t="s">
        <v>63</v>
      </c>
      <c r="C397" t="s">
        <v>49</v>
      </c>
      <c r="D397" s="1">
        <v>30000</v>
      </c>
      <c r="E397" t="str" cm="1">
        <f t="array" ref="E397">_xlfn.IFS(D397&lt;40000,"Low Income",D397&lt;=80000,"Moderate Income",D397&gt;80000,"High Income")</f>
        <v>Low Income</v>
      </c>
      <c r="F397">
        <v>1</v>
      </c>
      <c r="G397" t="s">
        <v>15</v>
      </c>
      <c r="H397" t="s">
        <v>22</v>
      </c>
      <c r="I397" t="s">
        <v>17</v>
      </c>
      <c r="J397">
        <v>0</v>
      </c>
      <c r="K397" t="s">
        <v>18</v>
      </c>
      <c r="L397" t="s">
        <v>19</v>
      </c>
      <c r="M397">
        <v>38</v>
      </c>
      <c r="N397" t="str">
        <f t="shared" si="6"/>
        <v>Middle-Aged</v>
      </c>
      <c r="O397" t="s">
        <v>17</v>
      </c>
    </row>
    <row r="398" spans="1:15">
      <c r="A398">
        <v>16163</v>
      </c>
      <c r="B398" t="s">
        <v>64</v>
      </c>
      <c r="C398" t="s">
        <v>49</v>
      </c>
      <c r="D398" s="1">
        <v>60000</v>
      </c>
      <c r="E398" t="str" cm="1">
        <f t="array" ref="E398">_xlfn.IFS(D398&lt;40000,"Low Income",D398&lt;=80000,"Moderate Income",D398&gt;80000,"High Income")</f>
        <v>Moderate Income</v>
      </c>
      <c r="F398">
        <v>2</v>
      </c>
      <c r="G398" t="s">
        <v>15</v>
      </c>
      <c r="H398" t="s">
        <v>23</v>
      </c>
      <c r="I398" t="s">
        <v>17</v>
      </c>
      <c r="J398">
        <v>1</v>
      </c>
      <c r="K398" t="s">
        <v>24</v>
      </c>
      <c r="L398" t="s">
        <v>27</v>
      </c>
      <c r="M398">
        <v>38</v>
      </c>
      <c r="N398" t="str">
        <f t="shared" si="6"/>
        <v>Middle-Aged</v>
      </c>
      <c r="O398" t="s">
        <v>17</v>
      </c>
    </row>
    <row r="399" spans="1:15">
      <c r="A399">
        <v>21365</v>
      </c>
      <c r="B399" t="s">
        <v>63</v>
      </c>
      <c r="C399" t="s">
        <v>47</v>
      </c>
      <c r="D399" s="1">
        <v>10000</v>
      </c>
      <c r="E399" t="str" cm="1">
        <f t="array" ref="E399">_xlfn.IFS(D399&lt;40000,"Low Income",D399&lt;=80000,"Moderate Income",D399&gt;80000,"High Income")</f>
        <v>Low Income</v>
      </c>
      <c r="F399">
        <v>2</v>
      </c>
      <c r="G399" t="s">
        <v>32</v>
      </c>
      <c r="H399" t="s">
        <v>22</v>
      </c>
      <c r="I399" t="s">
        <v>17</v>
      </c>
      <c r="J399">
        <v>2</v>
      </c>
      <c r="K399" t="s">
        <v>26</v>
      </c>
      <c r="L399" t="s">
        <v>27</v>
      </c>
      <c r="M399">
        <v>58</v>
      </c>
      <c r="N399" t="str">
        <f t="shared" si="6"/>
        <v>Middle-Aged</v>
      </c>
      <c r="O399" t="s">
        <v>20</v>
      </c>
    </row>
    <row r="400" spans="1:15">
      <c r="A400">
        <v>27771</v>
      </c>
      <c r="B400" t="s">
        <v>64</v>
      </c>
      <c r="C400" t="s">
        <v>49</v>
      </c>
      <c r="D400" s="1">
        <v>30000</v>
      </c>
      <c r="E400" t="str" cm="1">
        <f t="array" ref="E400">_xlfn.IFS(D400&lt;40000,"Low Income",D400&lt;=80000,"Moderate Income",D400&gt;80000,"High Income")</f>
        <v>Low Income</v>
      </c>
      <c r="F400">
        <v>1</v>
      </c>
      <c r="G400" t="s">
        <v>15</v>
      </c>
      <c r="H400" t="s">
        <v>22</v>
      </c>
      <c r="I400" t="s">
        <v>17</v>
      </c>
      <c r="J400">
        <v>1</v>
      </c>
      <c r="K400" t="s">
        <v>29</v>
      </c>
      <c r="L400" t="s">
        <v>19</v>
      </c>
      <c r="M400">
        <v>39</v>
      </c>
      <c r="N400" t="str">
        <f t="shared" si="6"/>
        <v>Middle-Aged</v>
      </c>
      <c r="O400" t="s">
        <v>17</v>
      </c>
    </row>
    <row r="401" spans="1:15">
      <c r="A401">
        <v>26167</v>
      </c>
      <c r="B401" t="s">
        <v>64</v>
      </c>
      <c r="C401" t="s">
        <v>47</v>
      </c>
      <c r="D401" s="1">
        <v>40000</v>
      </c>
      <c r="E401" t="str" cm="1">
        <f t="array" ref="E401">_xlfn.IFS(D401&lt;40000,"Low Income",D401&lt;=80000,"Moderate Income",D401&gt;80000,"High Income")</f>
        <v>Moderate Income</v>
      </c>
      <c r="F401">
        <v>2</v>
      </c>
      <c r="G401" t="s">
        <v>15</v>
      </c>
      <c r="H401" t="s">
        <v>31</v>
      </c>
      <c r="I401" t="s">
        <v>20</v>
      </c>
      <c r="J401">
        <v>1</v>
      </c>
      <c r="K401" t="s">
        <v>26</v>
      </c>
      <c r="L401" t="s">
        <v>27</v>
      </c>
      <c r="M401">
        <v>53</v>
      </c>
      <c r="N401" t="str">
        <f t="shared" si="6"/>
        <v>Middle-Aged</v>
      </c>
      <c r="O401" t="s">
        <v>17</v>
      </c>
    </row>
    <row r="402" spans="1:15">
      <c r="A402">
        <v>25792</v>
      </c>
      <c r="B402" t="s">
        <v>64</v>
      </c>
      <c r="C402" t="s">
        <v>47</v>
      </c>
      <c r="D402" s="1">
        <v>110000</v>
      </c>
      <c r="E402" t="str" cm="1">
        <f t="array" ref="E402">_xlfn.IFS(D402&lt;40000,"Low Income",D402&lt;=80000,"Moderate Income",D402&gt;80000,"High Income")</f>
        <v>High Income</v>
      </c>
      <c r="F402">
        <v>3</v>
      </c>
      <c r="G402" t="s">
        <v>15</v>
      </c>
      <c r="H402" t="s">
        <v>31</v>
      </c>
      <c r="I402" t="s">
        <v>17</v>
      </c>
      <c r="J402">
        <v>4</v>
      </c>
      <c r="K402" t="s">
        <v>61</v>
      </c>
      <c r="L402" t="s">
        <v>19</v>
      </c>
      <c r="M402">
        <v>53</v>
      </c>
      <c r="N402" t="str">
        <f t="shared" si="6"/>
        <v>Middle-Aged</v>
      </c>
      <c r="O402" t="s">
        <v>20</v>
      </c>
    </row>
    <row r="403" spans="1:15">
      <c r="A403">
        <v>11555</v>
      </c>
      <c r="B403" t="s">
        <v>63</v>
      </c>
      <c r="C403" t="s">
        <v>47</v>
      </c>
      <c r="D403" s="1">
        <v>40000</v>
      </c>
      <c r="E403" t="str" cm="1">
        <f t="array" ref="E403">_xlfn.IFS(D403&lt;40000,"Low Income",D403&lt;=80000,"Moderate Income",D403&gt;80000,"High Income")</f>
        <v>Moderate Income</v>
      </c>
      <c r="F403">
        <v>1</v>
      </c>
      <c r="G403" t="s">
        <v>15</v>
      </c>
      <c r="H403" t="s">
        <v>22</v>
      </c>
      <c r="I403" t="s">
        <v>17</v>
      </c>
      <c r="J403">
        <v>0</v>
      </c>
      <c r="K403" t="s">
        <v>18</v>
      </c>
      <c r="L403" t="s">
        <v>19</v>
      </c>
      <c r="M403">
        <v>80</v>
      </c>
      <c r="N403" t="str">
        <f t="shared" si="6"/>
        <v>Seniors</v>
      </c>
      <c r="O403" t="s">
        <v>20</v>
      </c>
    </row>
    <row r="404" spans="1:15">
      <c r="A404">
        <v>22381</v>
      </c>
      <c r="B404" t="s">
        <v>63</v>
      </c>
      <c r="C404" t="s">
        <v>49</v>
      </c>
      <c r="D404" s="1">
        <v>10000</v>
      </c>
      <c r="E404" t="str" cm="1">
        <f t="array" ref="E404">_xlfn.IFS(D404&lt;40000,"Low Income",D404&lt;=80000,"Moderate Income",D404&gt;80000,"High Income")</f>
        <v>Low Income</v>
      </c>
      <c r="F404">
        <v>1</v>
      </c>
      <c r="G404" t="s">
        <v>34</v>
      </c>
      <c r="H404" t="s">
        <v>28</v>
      </c>
      <c r="I404" t="s">
        <v>17</v>
      </c>
      <c r="J404">
        <v>0</v>
      </c>
      <c r="K404" t="s">
        <v>18</v>
      </c>
      <c r="L404" t="s">
        <v>19</v>
      </c>
      <c r="M404">
        <v>44</v>
      </c>
      <c r="N404" t="str">
        <f t="shared" si="6"/>
        <v>Middle-Aged</v>
      </c>
      <c r="O404" t="s">
        <v>20</v>
      </c>
    </row>
    <row r="405" spans="1:15">
      <c r="A405">
        <v>17882</v>
      </c>
      <c r="B405" t="s">
        <v>63</v>
      </c>
      <c r="C405" t="s">
        <v>49</v>
      </c>
      <c r="D405" s="1">
        <v>20000</v>
      </c>
      <c r="E405" t="str" cm="1">
        <f t="array" ref="E405">_xlfn.IFS(D405&lt;40000,"Low Income",D405&lt;=80000,"Moderate Income",D405&gt;80000,"High Income")</f>
        <v>Low Income</v>
      </c>
      <c r="F405">
        <v>1</v>
      </c>
      <c r="G405" t="s">
        <v>34</v>
      </c>
      <c r="H405" t="s">
        <v>22</v>
      </c>
      <c r="I405" t="s">
        <v>17</v>
      </c>
      <c r="J405">
        <v>0</v>
      </c>
      <c r="K405" t="s">
        <v>18</v>
      </c>
      <c r="L405" t="s">
        <v>19</v>
      </c>
      <c r="M405">
        <v>44</v>
      </c>
      <c r="N405" t="str">
        <f t="shared" si="6"/>
        <v>Middle-Aged</v>
      </c>
      <c r="O405" t="s">
        <v>20</v>
      </c>
    </row>
    <row r="406" spans="1:15">
      <c r="A406">
        <v>22174</v>
      </c>
      <c r="B406" t="s">
        <v>63</v>
      </c>
      <c r="C406" t="s">
        <v>49</v>
      </c>
      <c r="D406" s="1">
        <v>30000</v>
      </c>
      <c r="E406" t="str" cm="1">
        <f t="array" ref="E406">_xlfn.IFS(D406&lt;40000,"Low Income",D406&lt;=80000,"Moderate Income",D406&gt;80000,"High Income")</f>
        <v>Low Income</v>
      </c>
      <c r="F406">
        <v>3</v>
      </c>
      <c r="G406" t="s">
        <v>30</v>
      </c>
      <c r="H406" t="s">
        <v>16</v>
      </c>
      <c r="I406" t="s">
        <v>17</v>
      </c>
      <c r="J406">
        <v>2</v>
      </c>
      <c r="K406" t="s">
        <v>26</v>
      </c>
      <c r="L406" t="s">
        <v>27</v>
      </c>
      <c r="M406">
        <v>54</v>
      </c>
      <c r="N406" t="str">
        <f t="shared" si="6"/>
        <v>Middle-Aged</v>
      </c>
      <c r="O406" t="s">
        <v>17</v>
      </c>
    </row>
    <row r="407" spans="1:15">
      <c r="A407">
        <v>22439</v>
      </c>
      <c r="B407" t="s">
        <v>63</v>
      </c>
      <c r="C407" t="s">
        <v>47</v>
      </c>
      <c r="D407" s="1">
        <v>30000</v>
      </c>
      <c r="E407" t="str" cm="1">
        <f t="array" ref="E407">_xlfn.IFS(D407&lt;40000,"Low Income",D407&lt;=80000,"Moderate Income",D407&gt;80000,"High Income")</f>
        <v>Low Income</v>
      </c>
      <c r="F407">
        <v>0</v>
      </c>
      <c r="G407" t="s">
        <v>15</v>
      </c>
      <c r="H407" t="s">
        <v>22</v>
      </c>
      <c r="I407" t="s">
        <v>17</v>
      </c>
      <c r="J407">
        <v>0</v>
      </c>
      <c r="K407" t="s">
        <v>18</v>
      </c>
      <c r="L407" t="s">
        <v>19</v>
      </c>
      <c r="M407">
        <v>37</v>
      </c>
      <c r="N407" t="str">
        <f t="shared" si="6"/>
        <v>Middle-Aged</v>
      </c>
      <c r="O407" t="s">
        <v>17</v>
      </c>
    </row>
    <row r="408" spans="1:15">
      <c r="A408">
        <v>18012</v>
      </c>
      <c r="B408" t="s">
        <v>63</v>
      </c>
      <c r="C408" t="s">
        <v>47</v>
      </c>
      <c r="D408" s="1">
        <v>40000</v>
      </c>
      <c r="E408" t="str" cm="1">
        <f t="array" ref="E408">_xlfn.IFS(D408&lt;40000,"Low Income",D408&lt;=80000,"Moderate Income",D408&gt;80000,"High Income")</f>
        <v>Moderate Income</v>
      </c>
      <c r="F408">
        <v>1</v>
      </c>
      <c r="G408" t="s">
        <v>15</v>
      </c>
      <c r="H408" t="s">
        <v>16</v>
      </c>
      <c r="I408" t="s">
        <v>17</v>
      </c>
      <c r="J408">
        <v>0</v>
      </c>
      <c r="K408" t="s">
        <v>18</v>
      </c>
      <c r="L408" t="s">
        <v>19</v>
      </c>
      <c r="M408">
        <v>41</v>
      </c>
      <c r="N408" t="str">
        <f t="shared" si="6"/>
        <v>Middle-Aged</v>
      </c>
      <c r="O408" t="s">
        <v>20</v>
      </c>
    </row>
    <row r="409" spans="1:15">
      <c r="A409">
        <v>27582</v>
      </c>
      <c r="B409" t="s">
        <v>64</v>
      </c>
      <c r="C409" t="s">
        <v>47</v>
      </c>
      <c r="D409" s="1">
        <v>90000</v>
      </c>
      <c r="E409" t="str" cm="1">
        <f t="array" ref="E409">_xlfn.IFS(D409&lt;40000,"Low Income",D409&lt;=80000,"Moderate Income",D409&gt;80000,"High Income")</f>
        <v>High Income</v>
      </c>
      <c r="F409">
        <v>2</v>
      </c>
      <c r="G409" t="s">
        <v>15</v>
      </c>
      <c r="H409" t="s">
        <v>23</v>
      </c>
      <c r="I409" t="s">
        <v>20</v>
      </c>
      <c r="J409">
        <v>0</v>
      </c>
      <c r="K409" t="s">
        <v>18</v>
      </c>
      <c r="L409" t="s">
        <v>27</v>
      </c>
      <c r="M409">
        <v>36</v>
      </c>
      <c r="N409" t="str">
        <f t="shared" si="6"/>
        <v>Middle-Aged</v>
      </c>
      <c r="O409" t="s">
        <v>17</v>
      </c>
    </row>
    <row r="410" spans="1:15">
      <c r="A410">
        <v>12744</v>
      </c>
      <c r="B410" t="s">
        <v>64</v>
      </c>
      <c r="C410" t="s">
        <v>47</v>
      </c>
      <c r="D410" s="1">
        <v>40000</v>
      </c>
      <c r="E410" t="str" cm="1">
        <f t="array" ref="E410">_xlfn.IFS(D410&lt;40000,"Low Income",D410&lt;=80000,"Moderate Income",D410&gt;80000,"High Income")</f>
        <v>Moderate Income</v>
      </c>
      <c r="F410">
        <v>2</v>
      </c>
      <c r="G410" t="s">
        <v>21</v>
      </c>
      <c r="H410" t="s">
        <v>22</v>
      </c>
      <c r="I410" t="s">
        <v>17</v>
      </c>
      <c r="J410">
        <v>0</v>
      </c>
      <c r="K410" t="s">
        <v>18</v>
      </c>
      <c r="L410" t="s">
        <v>19</v>
      </c>
      <c r="M410">
        <v>33</v>
      </c>
      <c r="N410" t="str">
        <f t="shared" si="6"/>
        <v>Middle-Aged</v>
      </c>
      <c r="O410" t="s">
        <v>20</v>
      </c>
    </row>
    <row r="411" spans="1:15">
      <c r="A411">
        <v>22821</v>
      </c>
      <c r="B411" t="s">
        <v>63</v>
      </c>
      <c r="C411" t="s">
        <v>47</v>
      </c>
      <c r="D411" s="1">
        <v>130000</v>
      </c>
      <c r="E411" t="str" cm="1">
        <f t="array" ref="E411">_xlfn.IFS(D411&lt;40000,"Low Income",D411&lt;=80000,"Moderate Income",D411&gt;80000,"High Income")</f>
        <v>High Income</v>
      </c>
      <c r="F411">
        <v>3</v>
      </c>
      <c r="G411" t="s">
        <v>21</v>
      </c>
      <c r="H411" t="s">
        <v>23</v>
      </c>
      <c r="I411" t="s">
        <v>17</v>
      </c>
      <c r="J411">
        <v>4</v>
      </c>
      <c r="K411" t="s">
        <v>18</v>
      </c>
      <c r="L411" t="s">
        <v>19</v>
      </c>
      <c r="M411">
        <v>52</v>
      </c>
      <c r="N411" t="str">
        <f t="shared" si="6"/>
        <v>Middle-Aged</v>
      </c>
      <c r="O411" t="s">
        <v>20</v>
      </c>
    </row>
    <row r="412" spans="1:15">
      <c r="A412">
        <v>20171</v>
      </c>
      <c r="B412" t="s">
        <v>63</v>
      </c>
      <c r="C412" t="s">
        <v>47</v>
      </c>
      <c r="D412" s="1">
        <v>20000</v>
      </c>
      <c r="E412" t="str" cm="1">
        <f t="array" ref="E412">_xlfn.IFS(D412&lt;40000,"Low Income",D412&lt;=80000,"Moderate Income",D412&gt;80000,"High Income")</f>
        <v>Low Income</v>
      </c>
      <c r="F412">
        <v>2</v>
      </c>
      <c r="G412" t="s">
        <v>21</v>
      </c>
      <c r="H412" t="s">
        <v>28</v>
      </c>
      <c r="I412" t="s">
        <v>17</v>
      </c>
      <c r="J412">
        <v>1</v>
      </c>
      <c r="K412" t="s">
        <v>18</v>
      </c>
      <c r="L412" t="s">
        <v>19</v>
      </c>
      <c r="M412">
        <v>46</v>
      </c>
      <c r="N412" t="str">
        <f t="shared" si="6"/>
        <v>Middle-Aged</v>
      </c>
      <c r="O412" t="s">
        <v>17</v>
      </c>
    </row>
    <row r="413" spans="1:15">
      <c r="A413">
        <v>11116</v>
      </c>
      <c r="B413" t="s">
        <v>63</v>
      </c>
      <c r="C413" t="s">
        <v>49</v>
      </c>
      <c r="D413" s="1">
        <v>70000</v>
      </c>
      <c r="E413" t="str" cm="1">
        <f t="array" ref="E413">_xlfn.IFS(D413&lt;40000,"Low Income",D413&lt;=80000,"Moderate Income",D413&gt;80000,"High Income")</f>
        <v>Moderate Income</v>
      </c>
      <c r="F413">
        <v>5</v>
      </c>
      <c r="G413" t="s">
        <v>21</v>
      </c>
      <c r="H413" t="s">
        <v>16</v>
      </c>
      <c r="I413" t="s">
        <v>17</v>
      </c>
      <c r="J413">
        <v>2</v>
      </c>
      <c r="K413" t="s">
        <v>26</v>
      </c>
      <c r="L413" t="s">
        <v>27</v>
      </c>
      <c r="M413">
        <v>43</v>
      </c>
      <c r="N413" t="str">
        <f t="shared" si="6"/>
        <v>Middle-Aged</v>
      </c>
      <c r="O413" t="s">
        <v>20</v>
      </c>
    </row>
    <row r="414" spans="1:15">
      <c r="A414">
        <v>20053</v>
      </c>
      <c r="B414" t="s">
        <v>64</v>
      </c>
      <c r="C414" t="s">
        <v>49</v>
      </c>
      <c r="D414" s="1">
        <v>40000</v>
      </c>
      <c r="E414" t="str" cm="1">
        <f t="array" ref="E414">_xlfn.IFS(D414&lt;40000,"Low Income",D414&lt;=80000,"Moderate Income",D414&gt;80000,"High Income")</f>
        <v>Moderate Income</v>
      </c>
      <c r="F414">
        <v>2</v>
      </c>
      <c r="G414" t="s">
        <v>21</v>
      </c>
      <c r="H414" t="s">
        <v>22</v>
      </c>
      <c r="I414" t="s">
        <v>17</v>
      </c>
      <c r="J414">
        <v>0</v>
      </c>
      <c r="K414" t="s">
        <v>18</v>
      </c>
      <c r="L414" t="s">
        <v>19</v>
      </c>
      <c r="M414">
        <v>34</v>
      </c>
      <c r="N414" t="str">
        <f t="shared" si="6"/>
        <v>Middle-Aged</v>
      </c>
      <c r="O414" t="s">
        <v>20</v>
      </c>
    </row>
    <row r="415" spans="1:15">
      <c r="A415">
        <v>25266</v>
      </c>
      <c r="B415" t="s">
        <v>64</v>
      </c>
      <c r="C415" t="s">
        <v>47</v>
      </c>
      <c r="D415" s="1">
        <v>30000</v>
      </c>
      <c r="E415" t="str" cm="1">
        <f t="array" ref="E415">_xlfn.IFS(D415&lt;40000,"Low Income",D415&lt;=80000,"Moderate Income",D415&gt;80000,"High Income")</f>
        <v>Low Income</v>
      </c>
      <c r="F415">
        <v>2</v>
      </c>
      <c r="G415" t="s">
        <v>21</v>
      </c>
      <c r="H415" t="s">
        <v>22</v>
      </c>
      <c r="I415" t="s">
        <v>20</v>
      </c>
      <c r="J415">
        <v>2</v>
      </c>
      <c r="K415" t="s">
        <v>26</v>
      </c>
      <c r="L415" t="s">
        <v>27</v>
      </c>
      <c r="M415">
        <v>67</v>
      </c>
      <c r="N415" t="str">
        <f t="shared" si="6"/>
        <v>Seniors</v>
      </c>
      <c r="O415" t="s">
        <v>20</v>
      </c>
    </row>
    <row r="416" spans="1:15">
      <c r="A416">
        <v>17960</v>
      </c>
      <c r="B416" t="s">
        <v>63</v>
      </c>
      <c r="C416" t="s">
        <v>47</v>
      </c>
      <c r="D416" s="1">
        <v>40000</v>
      </c>
      <c r="E416" t="str" cm="1">
        <f t="array" ref="E416">_xlfn.IFS(D416&lt;40000,"Low Income",D416&lt;=80000,"Moderate Income",D416&gt;80000,"High Income")</f>
        <v>Moderate Income</v>
      </c>
      <c r="F416">
        <v>0</v>
      </c>
      <c r="G416" t="s">
        <v>34</v>
      </c>
      <c r="H416" t="s">
        <v>22</v>
      </c>
      <c r="I416" t="s">
        <v>17</v>
      </c>
      <c r="J416">
        <v>0</v>
      </c>
      <c r="K416" t="s">
        <v>18</v>
      </c>
      <c r="L416" t="s">
        <v>19</v>
      </c>
      <c r="M416">
        <v>35</v>
      </c>
      <c r="N416" t="str">
        <f t="shared" si="6"/>
        <v>Middle-Aged</v>
      </c>
      <c r="O416" t="s">
        <v>17</v>
      </c>
    </row>
    <row r="417" spans="1:15">
      <c r="A417">
        <v>13961</v>
      </c>
      <c r="B417" t="s">
        <v>63</v>
      </c>
      <c r="C417" t="s">
        <v>47</v>
      </c>
      <c r="D417" s="1">
        <v>80000</v>
      </c>
      <c r="E417" t="str" cm="1">
        <f t="array" ref="E417">_xlfn.IFS(D417&lt;40000,"Low Income",D417&lt;=80000,"Moderate Income",D417&gt;80000,"High Income")</f>
        <v>Moderate Income</v>
      </c>
      <c r="F417">
        <v>5</v>
      </c>
      <c r="G417" t="s">
        <v>34</v>
      </c>
      <c r="H417" t="s">
        <v>31</v>
      </c>
      <c r="I417" t="s">
        <v>17</v>
      </c>
      <c r="J417">
        <v>3</v>
      </c>
      <c r="K417" t="s">
        <v>18</v>
      </c>
      <c r="L417" t="s">
        <v>27</v>
      </c>
      <c r="M417">
        <v>40</v>
      </c>
      <c r="N417" t="str">
        <f t="shared" si="6"/>
        <v>Middle-Aged</v>
      </c>
      <c r="O417" t="s">
        <v>20</v>
      </c>
    </row>
    <row r="418" spans="1:15">
      <c r="A418">
        <v>11897</v>
      </c>
      <c r="B418" t="s">
        <v>64</v>
      </c>
      <c r="C418" t="s">
        <v>49</v>
      </c>
      <c r="D418" s="1">
        <v>60000</v>
      </c>
      <c r="E418" t="str" cm="1">
        <f t="array" ref="E418">_xlfn.IFS(D418&lt;40000,"Low Income",D418&lt;=80000,"Moderate Income",D418&gt;80000,"High Income")</f>
        <v>Moderate Income</v>
      </c>
      <c r="F418">
        <v>2</v>
      </c>
      <c r="G418" t="s">
        <v>15</v>
      </c>
      <c r="H418" t="s">
        <v>23</v>
      </c>
      <c r="I418" t="s">
        <v>20</v>
      </c>
      <c r="J418">
        <v>1</v>
      </c>
      <c r="K418" t="s">
        <v>18</v>
      </c>
      <c r="L418" t="s">
        <v>27</v>
      </c>
      <c r="M418">
        <v>37</v>
      </c>
      <c r="N418" t="str">
        <f t="shared" si="6"/>
        <v>Middle-Aged</v>
      </c>
      <c r="O418" t="s">
        <v>17</v>
      </c>
    </row>
    <row r="419" spans="1:15">
      <c r="A419">
        <v>11139</v>
      </c>
      <c r="B419" t="s">
        <v>64</v>
      </c>
      <c r="C419" t="s">
        <v>47</v>
      </c>
      <c r="D419" s="1">
        <v>30000</v>
      </c>
      <c r="E419" t="str" cm="1">
        <f t="array" ref="E419">_xlfn.IFS(D419&lt;40000,"Low Income",D419&lt;=80000,"Moderate Income",D419&gt;80000,"High Income")</f>
        <v>Low Income</v>
      </c>
      <c r="F419">
        <v>2</v>
      </c>
      <c r="G419" t="s">
        <v>21</v>
      </c>
      <c r="H419" t="s">
        <v>22</v>
      </c>
      <c r="I419" t="s">
        <v>20</v>
      </c>
      <c r="J419">
        <v>2</v>
      </c>
      <c r="K419" t="s">
        <v>26</v>
      </c>
      <c r="L419" t="s">
        <v>27</v>
      </c>
      <c r="M419">
        <v>67</v>
      </c>
      <c r="N419" t="str">
        <f t="shared" si="6"/>
        <v>Seniors</v>
      </c>
      <c r="O419" t="s">
        <v>20</v>
      </c>
    </row>
    <row r="420" spans="1:15">
      <c r="A420">
        <v>11576</v>
      </c>
      <c r="B420" t="s">
        <v>63</v>
      </c>
      <c r="C420" t="s">
        <v>49</v>
      </c>
      <c r="D420" s="1">
        <v>30000</v>
      </c>
      <c r="E420" t="str" cm="1">
        <f t="array" ref="E420">_xlfn.IFS(D420&lt;40000,"Low Income",D420&lt;=80000,"Moderate Income",D420&gt;80000,"High Income")</f>
        <v>Low Income</v>
      </c>
      <c r="F420">
        <v>1</v>
      </c>
      <c r="G420" t="s">
        <v>15</v>
      </c>
      <c r="H420" t="s">
        <v>16</v>
      </c>
      <c r="I420" t="s">
        <v>17</v>
      </c>
      <c r="J420">
        <v>2</v>
      </c>
      <c r="K420" t="s">
        <v>18</v>
      </c>
      <c r="L420" t="s">
        <v>19</v>
      </c>
      <c r="M420">
        <v>41</v>
      </c>
      <c r="N420" t="str">
        <f t="shared" si="6"/>
        <v>Middle-Aged</v>
      </c>
      <c r="O420" t="s">
        <v>17</v>
      </c>
    </row>
    <row r="421" spans="1:15">
      <c r="A421">
        <v>19255</v>
      </c>
      <c r="B421" t="s">
        <v>64</v>
      </c>
      <c r="C421" t="s">
        <v>49</v>
      </c>
      <c r="D421" s="1">
        <v>10000</v>
      </c>
      <c r="E421" t="str" cm="1">
        <f t="array" ref="E421">_xlfn.IFS(D421&lt;40000,"Low Income",D421&lt;=80000,"Moderate Income",D421&gt;80000,"High Income")</f>
        <v>Low Income</v>
      </c>
      <c r="F421">
        <v>2</v>
      </c>
      <c r="G421" t="s">
        <v>21</v>
      </c>
      <c r="H421" t="s">
        <v>28</v>
      </c>
      <c r="I421" t="s">
        <v>17</v>
      </c>
      <c r="J421">
        <v>1</v>
      </c>
      <c r="K421" t="s">
        <v>18</v>
      </c>
      <c r="L421" t="s">
        <v>19</v>
      </c>
      <c r="M421">
        <v>51</v>
      </c>
      <c r="N421" t="str">
        <f t="shared" si="6"/>
        <v>Middle-Aged</v>
      </c>
      <c r="O421" t="s">
        <v>17</v>
      </c>
    </row>
    <row r="422" spans="1:15">
      <c r="A422">
        <v>18153</v>
      </c>
      <c r="B422" t="s">
        <v>63</v>
      </c>
      <c r="C422" t="s">
        <v>47</v>
      </c>
      <c r="D422" s="1">
        <v>100000</v>
      </c>
      <c r="E422" t="str" cm="1">
        <f t="array" ref="E422">_xlfn.IFS(D422&lt;40000,"Low Income",D422&lt;=80000,"Moderate Income",D422&gt;80000,"High Income")</f>
        <v>High Income</v>
      </c>
      <c r="F422">
        <v>2</v>
      </c>
      <c r="G422" t="s">
        <v>15</v>
      </c>
      <c r="H422" t="s">
        <v>31</v>
      </c>
      <c r="I422" t="s">
        <v>17</v>
      </c>
      <c r="J422">
        <v>4</v>
      </c>
      <c r="K422" t="s">
        <v>61</v>
      </c>
      <c r="L422" t="s">
        <v>19</v>
      </c>
      <c r="M422">
        <v>59</v>
      </c>
      <c r="N422" t="str">
        <f t="shared" si="6"/>
        <v>Middle-Aged</v>
      </c>
      <c r="O422" t="s">
        <v>20</v>
      </c>
    </row>
    <row r="423" spans="1:15">
      <c r="A423">
        <v>14547</v>
      </c>
      <c r="B423" t="s">
        <v>63</v>
      </c>
      <c r="C423" t="s">
        <v>49</v>
      </c>
      <c r="D423" s="1">
        <v>10000</v>
      </c>
      <c r="E423" t="str" cm="1">
        <f t="array" ref="E423">_xlfn.IFS(D423&lt;40000,"Low Income",D423&lt;=80000,"Moderate Income",D423&gt;80000,"High Income")</f>
        <v>Low Income</v>
      </c>
      <c r="F423">
        <v>2</v>
      </c>
      <c r="G423" t="s">
        <v>21</v>
      </c>
      <c r="H423" t="s">
        <v>28</v>
      </c>
      <c r="I423" t="s">
        <v>17</v>
      </c>
      <c r="J423">
        <v>0</v>
      </c>
      <c r="K423" t="s">
        <v>29</v>
      </c>
      <c r="L423" t="s">
        <v>19</v>
      </c>
      <c r="M423">
        <v>51</v>
      </c>
      <c r="N423" t="str">
        <f t="shared" si="6"/>
        <v>Middle-Aged</v>
      </c>
      <c r="O423" t="s">
        <v>20</v>
      </c>
    </row>
    <row r="424" spans="1:15">
      <c r="A424">
        <v>24901</v>
      </c>
      <c r="B424" t="s">
        <v>64</v>
      </c>
      <c r="C424" t="s">
        <v>49</v>
      </c>
      <c r="D424" s="1">
        <v>110000</v>
      </c>
      <c r="E424" t="str" cm="1">
        <f t="array" ref="E424">_xlfn.IFS(D424&lt;40000,"Low Income",D424&lt;=80000,"Moderate Income",D424&gt;80000,"High Income")</f>
        <v>High Income</v>
      </c>
      <c r="F424">
        <v>0</v>
      </c>
      <c r="G424" t="s">
        <v>21</v>
      </c>
      <c r="H424" t="s">
        <v>31</v>
      </c>
      <c r="I424" t="s">
        <v>20</v>
      </c>
      <c r="J424">
        <v>3</v>
      </c>
      <c r="K424" t="s">
        <v>61</v>
      </c>
      <c r="L424" t="s">
        <v>27</v>
      </c>
      <c r="M424">
        <v>32</v>
      </c>
      <c r="N424" t="str">
        <f t="shared" si="6"/>
        <v>Middle-Aged</v>
      </c>
      <c r="O424" t="s">
        <v>17</v>
      </c>
    </row>
    <row r="425" spans="1:15">
      <c r="A425">
        <v>27169</v>
      </c>
      <c r="B425" t="s">
        <v>64</v>
      </c>
      <c r="C425" t="s">
        <v>49</v>
      </c>
      <c r="D425" s="1">
        <v>30000</v>
      </c>
      <c r="E425" t="str" cm="1">
        <f t="array" ref="E425">_xlfn.IFS(D425&lt;40000,"Low Income",D425&lt;=80000,"Moderate Income",D425&gt;80000,"High Income")</f>
        <v>Low Income</v>
      </c>
      <c r="F425">
        <v>0</v>
      </c>
      <c r="G425" t="s">
        <v>30</v>
      </c>
      <c r="H425" t="s">
        <v>28</v>
      </c>
      <c r="I425" t="s">
        <v>17</v>
      </c>
      <c r="J425">
        <v>1</v>
      </c>
      <c r="K425" t="s">
        <v>24</v>
      </c>
      <c r="L425" t="s">
        <v>19</v>
      </c>
      <c r="M425">
        <v>34</v>
      </c>
      <c r="N425" t="str">
        <f t="shared" si="6"/>
        <v>Middle-Aged</v>
      </c>
      <c r="O425" t="s">
        <v>17</v>
      </c>
    </row>
    <row r="426" spans="1:15">
      <c r="A426">
        <v>14805</v>
      </c>
      <c r="B426" t="s">
        <v>64</v>
      </c>
      <c r="C426" t="s">
        <v>47</v>
      </c>
      <c r="D426" s="1">
        <v>10000</v>
      </c>
      <c r="E426" t="str" cm="1">
        <f t="array" ref="E426">_xlfn.IFS(D426&lt;40000,"Low Income",D426&lt;=80000,"Moderate Income",D426&gt;80000,"High Income")</f>
        <v>Low Income</v>
      </c>
      <c r="F426">
        <v>3</v>
      </c>
      <c r="G426" t="s">
        <v>32</v>
      </c>
      <c r="H426" t="s">
        <v>28</v>
      </c>
      <c r="I426" t="s">
        <v>17</v>
      </c>
      <c r="J426">
        <v>2</v>
      </c>
      <c r="K426" t="s">
        <v>18</v>
      </c>
      <c r="L426" t="s">
        <v>19</v>
      </c>
      <c r="M426">
        <v>43</v>
      </c>
      <c r="N426" t="str">
        <f t="shared" si="6"/>
        <v>Middle-Aged</v>
      </c>
      <c r="O426" t="s">
        <v>20</v>
      </c>
    </row>
    <row r="427" spans="1:15">
      <c r="A427">
        <v>15822</v>
      </c>
      <c r="B427" t="s">
        <v>63</v>
      </c>
      <c r="C427" t="s">
        <v>49</v>
      </c>
      <c r="D427" s="1">
        <v>40000</v>
      </c>
      <c r="E427" t="str" cm="1">
        <f t="array" ref="E427">_xlfn.IFS(D427&lt;40000,"Low Income",D427&lt;=80000,"Moderate Income",D427&gt;80000,"High Income")</f>
        <v>Moderate Income</v>
      </c>
      <c r="F427">
        <v>2</v>
      </c>
      <c r="G427" t="s">
        <v>15</v>
      </c>
      <c r="H427" t="s">
        <v>31</v>
      </c>
      <c r="I427" t="s">
        <v>17</v>
      </c>
      <c r="J427">
        <v>2</v>
      </c>
      <c r="K427" t="s">
        <v>18</v>
      </c>
      <c r="L427" t="s">
        <v>27</v>
      </c>
      <c r="M427">
        <v>67</v>
      </c>
      <c r="N427" t="str">
        <f t="shared" si="6"/>
        <v>Seniors</v>
      </c>
      <c r="O427" t="s">
        <v>20</v>
      </c>
    </row>
    <row r="428" spans="1:15">
      <c r="A428">
        <v>19389</v>
      </c>
      <c r="B428" t="s">
        <v>64</v>
      </c>
      <c r="C428" t="s">
        <v>49</v>
      </c>
      <c r="D428" s="1">
        <v>30000</v>
      </c>
      <c r="E428" t="str" cm="1">
        <f t="array" ref="E428">_xlfn.IFS(D428&lt;40000,"Low Income",D428&lt;=80000,"Moderate Income",D428&gt;80000,"High Income")</f>
        <v>Low Income</v>
      </c>
      <c r="F428">
        <v>0</v>
      </c>
      <c r="G428" t="s">
        <v>21</v>
      </c>
      <c r="H428" t="s">
        <v>22</v>
      </c>
      <c r="I428" t="s">
        <v>20</v>
      </c>
      <c r="J428">
        <v>1</v>
      </c>
      <c r="K428" t="s">
        <v>24</v>
      </c>
      <c r="L428" t="s">
        <v>19</v>
      </c>
      <c r="M428">
        <v>28</v>
      </c>
      <c r="N428" t="str">
        <f t="shared" si="6"/>
        <v>Young Adults</v>
      </c>
      <c r="O428" t="s">
        <v>20</v>
      </c>
    </row>
    <row r="429" spans="1:15">
      <c r="A429">
        <v>17048</v>
      </c>
      <c r="B429" t="s">
        <v>64</v>
      </c>
      <c r="C429" t="s">
        <v>47</v>
      </c>
      <c r="D429" s="1">
        <v>90000</v>
      </c>
      <c r="E429" t="str" cm="1">
        <f t="array" ref="E429">_xlfn.IFS(D429&lt;40000,"Low Income",D429&lt;=80000,"Moderate Income",D429&gt;80000,"High Income")</f>
        <v>High Income</v>
      </c>
      <c r="F429">
        <v>1</v>
      </c>
      <c r="G429" t="s">
        <v>34</v>
      </c>
      <c r="H429" t="s">
        <v>31</v>
      </c>
      <c r="I429" t="s">
        <v>17</v>
      </c>
      <c r="J429">
        <v>0</v>
      </c>
      <c r="K429" t="s">
        <v>18</v>
      </c>
      <c r="L429" t="s">
        <v>27</v>
      </c>
      <c r="M429">
        <v>36</v>
      </c>
      <c r="N429" t="str">
        <f t="shared" si="6"/>
        <v>Middle-Aged</v>
      </c>
      <c r="O429" t="s">
        <v>17</v>
      </c>
    </row>
    <row r="430" spans="1:15">
      <c r="A430">
        <v>22204</v>
      </c>
      <c r="B430" t="s">
        <v>63</v>
      </c>
      <c r="C430" t="s">
        <v>49</v>
      </c>
      <c r="D430" s="1">
        <v>110000</v>
      </c>
      <c r="E430" t="str" cm="1">
        <f t="array" ref="E430">_xlfn.IFS(D430&lt;40000,"Low Income",D430&lt;=80000,"Moderate Income",D430&gt;80000,"High Income")</f>
        <v>High Income</v>
      </c>
      <c r="F430">
        <v>4</v>
      </c>
      <c r="G430" t="s">
        <v>15</v>
      </c>
      <c r="H430" t="s">
        <v>31</v>
      </c>
      <c r="I430" t="s">
        <v>17</v>
      </c>
      <c r="J430">
        <v>3</v>
      </c>
      <c r="K430" t="s">
        <v>24</v>
      </c>
      <c r="L430" t="s">
        <v>27</v>
      </c>
      <c r="M430">
        <v>48</v>
      </c>
      <c r="N430" t="str">
        <f t="shared" si="6"/>
        <v>Middle-Aged</v>
      </c>
      <c r="O430" t="s">
        <v>20</v>
      </c>
    </row>
    <row r="431" spans="1:15">
      <c r="A431">
        <v>12718</v>
      </c>
      <c r="B431" t="s">
        <v>64</v>
      </c>
      <c r="C431" t="s">
        <v>47</v>
      </c>
      <c r="D431" s="1">
        <v>30000</v>
      </c>
      <c r="E431" t="str" cm="1">
        <f t="array" ref="E431">_xlfn.IFS(D431&lt;40000,"Low Income",D431&lt;=80000,"Moderate Income",D431&gt;80000,"High Income")</f>
        <v>Low Income</v>
      </c>
      <c r="F431">
        <v>0</v>
      </c>
      <c r="G431" t="s">
        <v>21</v>
      </c>
      <c r="H431" t="s">
        <v>22</v>
      </c>
      <c r="I431" t="s">
        <v>17</v>
      </c>
      <c r="J431">
        <v>1</v>
      </c>
      <c r="K431" t="s">
        <v>24</v>
      </c>
      <c r="L431" t="s">
        <v>19</v>
      </c>
      <c r="M431">
        <v>31</v>
      </c>
      <c r="N431" t="str">
        <f t="shared" si="6"/>
        <v>Middle-Aged</v>
      </c>
      <c r="O431" t="s">
        <v>20</v>
      </c>
    </row>
    <row r="432" spans="1:15">
      <c r="A432">
        <v>15019</v>
      </c>
      <c r="B432" t="s">
        <v>64</v>
      </c>
      <c r="C432" t="s">
        <v>47</v>
      </c>
      <c r="D432" s="1">
        <v>30000</v>
      </c>
      <c r="E432" t="str" cm="1">
        <f t="array" ref="E432">_xlfn.IFS(D432&lt;40000,"Low Income",D432&lt;=80000,"Moderate Income",D432&gt;80000,"High Income")</f>
        <v>Low Income</v>
      </c>
      <c r="F432">
        <v>3</v>
      </c>
      <c r="G432" t="s">
        <v>30</v>
      </c>
      <c r="H432" t="s">
        <v>16</v>
      </c>
      <c r="I432" t="s">
        <v>17</v>
      </c>
      <c r="J432">
        <v>2</v>
      </c>
      <c r="K432" t="s">
        <v>26</v>
      </c>
      <c r="L432" t="s">
        <v>27</v>
      </c>
      <c r="M432">
        <v>55</v>
      </c>
      <c r="N432" t="str">
        <f t="shared" si="6"/>
        <v>Middle-Aged</v>
      </c>
      <c r="O432" t="s">
        <v>20</v>
      </c>
    </row>
    <row r="433" spans="1:15">
      <c r="A433">
        <v>28488</v>
      </c>
      <c r="B433" t="s">
        <v>64</v>
      </c>
      <c r="C433" t="s">
        <v>49</v>
      </c>
      <c r="D433" s="1">
        <v>20000</v>
      </c>
      <c r="E433" t="str" cm="1">
        <f t="array" ref="E433">_xlfn.IFS(D433&lt;40000,"Low Income",D433&lt;=80000,"Moderate Income",D433&gt;80000,"High Income")</f>
        <v>Low Income</v>
      </c>
      <c r="F433">
        <v>0</v>
      </c>
      <c r="G433" t="s">
        <v>21</v>
      </c>
      <c r="H433" t="s">
        <v>28</v>
      </c>
      <c r="I433" t="s">
        <v>17</v>
      </c>
      <c r="J433">
        <v>0</v>
      </c>
      <c r="K433" t="s">
        <v>18</v>
      </c>
      <c r="L433" t="s">
        <v>27</v>
      </c>
      <c r="M433">
        <v>28</v>
      </c>
      <c r="N433" t="str">
        <f t="shared" si="6"/>
        <v>Young Adults</v>
      </c>
      <c r="O433" t="s">
        <v>17</v>
      </c>
    </row>
    <row r="434" spans="1:15">
      <c r="A434">
        <v>21891</v>
      </c>
      <c r="B434" t="s">
        <v>63</v>
      </c>
      <c r="C434" t="s">
        <v>47</v>
      </c>
      <c r="D434" s="1">
        <v>110000</v>
      </c>
      <c r="E434" t="str" cm="1">
        <f t="array" ref="E434">_xlfn.IFS(D434&lt;40000,"Low Income",D434&lt;=80000,"Moderate Income",D434&gt;80000,"High Income")</f>
        <v>High Income</v>
      </c>
      <c r="F434">
        <v>0</v>
      </c>
      <c r="G434" t="s">
        <v>30</v>
      </c>
      <c r="H434" t="s">
        <v>31</v>
      </c>
      <c r="I434" t="s">
        <v>17</v>
      </c>
      <c r="J434">
        <v>3</v>
      </c>
      <c r="K434" t="s">
        <v>61</v>
      </c>
      <c r="L434" t="s">
        <v>27</v>
      </c>
      <c r="M434">
        <v>34</v>
      </c>
      <c r="N434" t="str">
        <f t="shared" si="6"/>
        <v>Middle-Aged</v>
      </c>
      <c r="O434" t="s">
        <v>17</v>
      </c>
    </row>
    <row r="435" spans="1:15">
      <c r="A435">
        <v>27814</v>
      </c>
      <c r="B435" t="s">
        <v>64</v>
      </c>
      <c r="C435" t="s">
        <v>47</v>
      </c>
      <c r="D435" s="1">
        <v>30000</v>
      </c>
      <c r="E435" t="str" cm="1">
        <f t="array" ref="E435">_xlfn.IFS(D435&lt;40000,"Low Income",D435&lt;=80000,"Moderate Income",D435&gt;80000,"High Income")</f>
        <v>Low Income</v>
      </c>
      <c r="F435">
        <v>3</v>
      </c>
      <c r="G435" t="s">
        <v>21</v>
      </c>
      <c r="H435" t="s">
        <v>22</v>
      </c>
      <c r="I435" t="s">
        <v>20</v>
      </c>
      <c r="J435">
        <v>1</v>
      </c>
      <c r="K435" t="s">
        <v>18</v>
      </c>
      <c r="L435" t="s">
        <v>19</v>
      </c>
      <c r="M435">
        <v>26</v>
      </c>
      <c r="N435" t="str">
        <f t="shared" si="6"/>
        <v>Young Adults</v>
      </c>
      <c r="O435" t="s">
        <v>20</v>
      </c>
    </row>
    <row r="436" spans="1:15">
      <c r="A436">
        <v>22175</v>
      </c>
      <c r="B436" t="s">
        <v>63</v>
      </c>
      <c r="C436" t="s">
        <v>47</v>
      </c>
      <c r="D436" s="1">
        <v>30000</v>
      </c>
      <c r="E436" t="str" cm="1">
        <f t="array" ref="E436">_xlfn.IFS(D436&lt;40000,"Low Income",D436&lt;=80000,"Moderate Income",D436&gt;80000,"High Income")</f>
        <v>Low Income</v>
      </c>
      <c r="F436">
        <v>3</v>
      </c>
      <c r="G436" t="s">
        <v>30</v>
      </c>
      <c r="H436" t="s">
        <v>16</v>
      </c>
      <c r="I436" t="s">
        <v>17</v>
      </c>
      <c r="J436">
        <v>2</v>
      </c>
      <c r="K436" t="s">
        <v>26</v>
      </c>
      <c r="L436" t="s">
        <v>27</v>
      </c>
      <c r="M436">
        <v>53</v>
      </c>
      <c r="N436" t="str">
        <f t="shared" si="6"/>
        <v>Middle-Aged</v>
      </c>
      <c r="O436" t="s">
        <v>17</v>
      </c>
    </row>
    <row r="437" spans="1:15">
      <c r="A437">
        <v>29447</v>
      </c>
      <c r="B437" t="s">
        <v>64</v>
      </c>
      <c r="C437" t="s">
        <v>47</v>
      </c>
      <c r="D437" s="1">
        <v>10000</v>
      </c>
      <c r="E437" t="str" cm="1">
        <f t="array" ref="E437">_xlfn.IFS(D437&lt;40000,"Low Income",D437&lt;=80000,"Moderate Income",D437&gt;80000,"High Income")</f>
        <v>Low Income</v>
      </c>
      <c r="F437">
        <v>2</v>
      </c>
      <c r="G437" t="s">
        <v>15</v>
      </c>
      <c r="H437" t="s">
        <v>22</v>
      </c>
      <c r="I437" t="s">
        <v>20</v>
      </c>
      <c r="J437">
        <v>1</v>
      </c>
      <c r="K437" t="s">
        <v>24</v>
      </c>
      <c r="L437" t="s">
        <v>19</v>
      </c>
      <c r="M437">
        <v>68</v>
      </c>
      <c r="N437" t="str">
        <f t="shared" si="6"/>
        <v>Seniors</v>
      </c>
      <c r="O437" t="s">
        <v>20</v>
      </c>
    </row>
    <row r="438" spans="1:15">
      <c r="A438">
        <v>19784</v>
      </c>
      <c r="B438" t="s">
        <v>63</v>
      </c>
      <c r="C438" t="s">
        <v>47</v>
      </c>
      <c r="D438" s="1">
        <v>80000</v>
      </c>
      <c r="E438" t="str" cm="1">
        <f t="array" ref="E438">_xlfn.IFS(D438&lt;40000,"Low Income",D438&lt;=80000,"Moderate Income",D438&gt;80000,"High Income")</f>
        <v>Moderate Income</v>
      </c>
      <c r="F438">
        <v>2</v>
      </c>
      <c r="G438" t="s">
        <v>30</v>
      </c>
      <c r="H438" t="s">
        <v>16</v>
      </c>
      <c r="I438" t="s">
        <v>17</v>
      </c>
      <c r="J438">
        <v>2</v>
      </c>
      <c r="K438" t="s">
        <v>26</v>
      </c>
      <c r="L438" t="s">
        <v>27</v>
      </c>
      <c r="M438">
        <v>50</v>
      </c>
      <c r="N438" t="str">
        <f t="shared" si="6"/>
        <v>Middle-Aged</v>
      </c>
      <c r="O438" t="s">
        <v>17</v>
      </c>
    </row>
    <row r="439" spans="1:15">
      <c r="A439">
        <v>27824</v>
      </c>
      <c r="B439" t="s">
        <v>64</v>
      </c>
      <c r="C439" t="s">
        <v>47</v>
      </c>
      <c r="D439" s="1">
        <v>30000</v>
      </c>
      <c r="E439" t="str" cm="1">
        <f t="array" ref="E439">_xlfn.IFS(D439&lt;40000,"Low Income",D439&lt;=80000,"Moderate Income",D439&gt;80000,"High Income")</f>
        <v>Low Income</v>
      </c>
      <c r="F439">
        <v>3</v>
      </c>
      <c r="G439" t="s">
        <v>21</v>
      </c>
      <c r="H439" t="s">
        <v>22</v>
      </c>
      <c r="I439" t="s">
        <v>17</v>
      </c>
      <c r="J439">
        <v>2</v>
      </c>
      <c r="K439" t="s">
        <v>18</v>
      </c>
      <c r="L439" t="s">
        <v>19</v>
      </c>
      <c r="M439">
        <v>28</v>
      </c>
      <c r="N439" t="str">
        <f t="shared" si="6"/>
        <v>Young Adults</v>
      </c>
      <c r="O439" t="s">
        <v>17</v>
      </c>
    </row>
    <row r="440" spans="1:15">
      <c r="A440">
        <v>24093</v>
      </c>
      <c r="B440" t="s">
        <v>64</v>
      </c>
      <c r="C440" t="s">
        <v>47</v>
      </c>
      <c r="D440" s="1">
        <v>80000</v>
      </c>
      <c r="E440" t="str" cm="1">
        <f t="array" ref="E440">_xlfn.IFS(D440&lt;40000,"Low Income",D440&lt;=80000,"Moderate Income",D440&gt;80000,"High Income")</f>
        <v>Moderate Income</v>
      </c>
      <c r="F440">
        <v>0</v>
      </c>
      <c r="G440" t="s">
        <v>34</v>
      </c>
      <c r="H440" t="s">
        <v>16</v>
      </c>
      <c r="I440" t="s">
        <v>20</v>
      </c>
      <c r="J440">
        <v>0</v>
      </c>
      <c r="K440" t="s">
        <v>18</v>
      </c>
      <c r="L440" t="s">
        <v>19</v>
      </c>
      <c r="M440">
        <v>40</v>
      </c>
      <c r="N440" t="str">
        <f t="shared" si="6"/>
        <v>Middle-Aged</v>
      </c>
      <c r="O440" t="s">
        <v>17</v>
      </c>
    </row>
    <row r="441" spans="1:15">
      <c r="A441">
        <v>19618</v>
      </c>
      <c r="B441" t="s">
        <v>63</v>
      </c>
      <c r="C441" t="s">
        <v>49</v>
      </c>
      <c r="D441" s="1">
        <v>70000</v>
      </c>
      <c r="E441" t="str" cm="1">
        <f t="array" ref="E441">_xlfn.IFS(D441&lt;40000,"Low Income",D441&lt;=80000,"Moderate Income",D441&gt;80000,"High Income")</f>
        <v>Moderate Income</v>
      </c>
      <c r="F441">
        <v>5</v>
      </c>
      <c r="G441" t="s">
        <v>21</v>
      </c>
      <c r="H441" t="s">
        <v>16</v>
      </c>
      <c r="I441" t="s">
        <v>17</v>
      </c>
      <c r="J441">
        <v>2</v>
      </c>
      <c r="K441" t="s">
        <v>18</v>
      </c>
      <c r="L441" t="s">
        <v>27</v>
      </c>
      <c r="M441">
        <v>44</v>
      </c>
      <c r="N441" t="str">
        <f t="shared" si="6"/>
        <v>Middle-Aged</v>
      </c>
      <c r="O441" t="s">
        <v>20</v>
      </c>
    </row>
    <row r="442" spans="1:15">
      <c r="A442">
        <v>21561</v>
      </c>
      <c r="B442" t="s">
        <v>64</v>
      </c>
      <c r="C442" t="s">
        <v>49</v>
      </c>
      <c r="D442" s="1">
        <v>90000</v>
      </c>
      <c r="E442" t="str" cm="1">
        <f t="array" ref="E442">_xlfn.IFS(D442&lt;40000,"Low Income",D442&lt;=80000,"Moderate Income",D442&gt;80000,"High Income")</f>
        <v>High Income</v>
      </c>
      <c r="F442">
        <v>0</v>
      </c>
      <c r="G442" t="s">
        <v>15</v>
      </c>
      <c r="H442" t="s">
        <v>23</v>
      </c>
      <c r="I442" t="s">
        <v>20</v>
      </c>
      <c r="J442">
        <v>3</v>
      </c>
      <c r="K442" t="s">
        <v>61</v>
      </c>
      <c r="L442" t="s">
        <v>27</v>
      </c>
      <c r="M442">
        <v>34</v>
      </c>
      <c r="N442" t="str">
        <f t="shared" si="6"/>
        <v>Middle-Aged</v>
      </c>
      <c r="O442" t="s">
        <v>17</v>
      </c>
    </row>
    <row r="443" spans="1:15">
      <c r="A443">
        <v>11061</v>
      </c>
      <c r="B443" t="s">
        <v>63</v>
      </c>
      <c r="C443" t="s">
        <v>49</v>
      </c>
      <c r="D443" s="1">
        <v>70000</v>
      </c>
      <c r="E443" t="str" cm="1">
        <f t="array" ref="E443">_xlfn.IFS(D443&lt;40000,"Low Income",D443&lt;=80000,"Moderate Income",D443&gt;80000,"High Income")</f>
        <v>Moderate Income</v>
      </c>
      <c r="F443">
        <v>2</v>
      </c>
      <c r="G443" t="s">
        <v>21</v>
      </c>
      <c r="H443" t="s">
        <v>16</v>
      </c>
      <c r="I443" t="s">
        <v>17</v>
      </c>
      <c r="J443">
        <v>2</v>
      </c>
      <c r="K443" t="s">
        <v>26</v>
      </c>
      <c r="L443" t="s">
        <v>27</v>
      </c>
      <c r="M443">
        <v>52</v>
      </c>
      <c r="N443" t="str">
        <f t="shared" si="6"/>
        <v>Middle-Aged</v>
      </c>
      <c r="O443" t="s">
        <v>17</v>
      </c>
    </row>
    <row r="444" spans="1:15">
      <c r="A444">
        <v>26651</v>
      </c>
      <c r="B444" t="s">
        <v>64</v>
      </c>
      <c r="C444" t="s">
        <v>49</v>
      </c>
      <c r="D444" s="1">
        <v>80000</v>
      </c>
      <c r="E444" t="str" cm="1">
        <f t="array" ref="E444">_xlfn.IFS(D444&lt;40000,"Low Income",D444&lt;=80000,"Moderate Income",D444&gt;80000,"High Income")</f>
        <v>Moderate Income</v>
      </c>
      <c r="F444">
        <v>4</v>
      </c>
      <c r="G444" t="s">
        <v>34</v>
      </c>
      <c r="H444" t="s">
        <v>31</v>
      </c>
      <c r="I444" t="s">
        <v>17</v>
      </c>
      <c r="J444">
        <v>0</v>
      </c>
      <c r="K444" t="s">
        <v>18</v>
      </c>
      <c r="L444" t="s">
        <v>27</v>
      </c>
      <c r="M444">
        <v>36</v>
      </c>
      <c r="N444" t="str">
        <f t="shared" si="6"/>
        <v>Middle-Aged</v>
      </c>
      <c r="O444" t="s">
        <v>17</v>
      </c>
    </row>
    <row r="445" spans="1:15">
      <c r="A445">
        <v>21108</v>
      </c>
      <c r="B445" t="s">
        <v>63</v>
      </c>
      <c r="C445" t="s">
        <v>47</v>
      </c>
      <c r="D445" s="1">
        <v>40000</v>
      </c>
      <c r="E445" t="str" cm="1">
        <f t="array" ref="E445">_xlfn.IFS(D445&lt;40000,"Low Income",D445&lt;=80000,"Moderate Income",D445&gt;80000,"High Income")</f>
        <v>Moderate Income</v>
      </c>
      <c r="F445">
        <v>1</v>
      </c>
      <c r="G445" t="s">
        <v>15</v>
      </c>
      <c r="H445" t="s">
        <v>16</v>
      </c>
      <c r="I445" t="s">
        <v>17</v>
      </c>
      <c r="J445">
        <v>1</v>
      </c>
      <c r="K445" t="s">
        <v>18</v>
      </c>
      <c r="L445" t="s">
        <v>19</v>
      </c>
      <c r="M445">
        <v>43</v>
      </c>
      <c r="N445" t="str">
        <f t="shared" si="6"/>
        <v>Middle-Aged</v>
      </c>
      <c r="O445" t="s">
        <v>17</v>
      </c>
    </row>
    <row r="446" spans="1:15">
      <c r="A446">
        <v>12731</v>
      </c>
      <c r="B446" t="s">
        <v>64</v>
      </c>
      <c r="C446" t="s">
        <v>49</v>
      </c>
      <c r="D446" s="1">
        <v>30000</v>
      </c>
      <c r="E446" t="str" cm="1">
        <f t="array" ref="E446">_xlfn.IFS(D446&lt;40000,"Low Income",D446&lt;=80000,"Moderate Income",D446&gt;80000,"High Income")</f>
        <v>Low Income</v>
      </c>
      <c r="F446">
        <v>0</v>
      </c>
      <c r="G446" t="s">
        <v>30</v>
      </c>
      <c r="H446" t="s">
        <v>28</v>
      </c>
      <c r="I446" t="s">
        <v>20</v>
      </c>
      <c r="J446">
        <v>1</v>
      </c>
      <c r="K446" t="s">
        <v>29</v>
      </c>
      <c r="L446" t="s">
        <v>19</v>
      </c>
      <c r="M446">
        <v>32</v>
      </c>
      <c r="N446" t="str">
        <f t="shared" si="6"/>
        <v>Middle-Aged</v>
      </c>
      <c r="O446" t="s">
        <v>20</v>
      </c>
    </row>
    <row r="447" spans="1:15">
      <c r="A447">
        <v>25307</v>
      </c>
      <c r="B447" t="s">
        <v>63</v>
      </c>
      <c r="C447" t="s">
        <v>47</v>
      </c>
      <c r="D447" s="1">
        <v>40000</v>
      </c>
      <c r="E447" t="str" cm="1">
        <f t="array" ref="E447">_xlfn.IFS(D447&lt;40000,"Low Income",D447&lt;=80000,"Moderate Income",D447&gt;80000,"High Income")</f>
        <v>Moderate Income</v>
      </c>
      <c r="F447">
        <v>1</v>
      </c>
      <c r="G447" t="s">
        <v>15</v>
      </c>
      <c r="H447" t="s">
        <v>16</v>
      </c>
      <c r="I447" t="s">
        <v>17</v>
      </c>
      <c r="J447">
        <v>1</v>
      </c>
      <c r="K447" t="s">
        <v>29</v>
      </c>
      <c r="L447" t="s">
        <v>19</v>
      </c>
      <c r="M447">
        <v>32</v>
      </c>
      <c r="N447" t="str">
        <f t="shared" si="6"/>
        <v>Middle-Aged</v>
      </c>
      <c r="O447" t="s">
        <v>17</v>
      </c>
    </row>
    <row r="448" spans="1:15">
      <c r="A448">
        <v>14278</v>
      </c>
      <c r="B448" t="s">
        <v>63</v>
      </c>
      <c r="C448" t="s">
        <v>47</v>
      </c>
      <c r="D448" s="1">
        <v>130000</v>
      </c>
      <c r="E448" t="str" cm="1">
        <f t="array" ref="E448">_xlfn.IFS(D448&lt;40000,"Low Income",D448&lt;=80000,"Moderate Income",D448&gt;80000,"High Income")</f>
        <v>High Income</v>
      </c>
      <c r="F448">
        <v>0</v>
      </c>
      <c r="G448" t="s">
        <v>34</v>
      </c>
      <c r="H448" t="s">
        <v>31</v>
      </c>
      <c r="I448" t="s">
        <v>17</v>
      </c>
      <c r="J448">
        <v>1</v>
      </c>
      <c r="K448" t="s">
        <v>61</v>
      </c>
      <c r="L448" t="s">
        <v>27</v>
      </c>
      <c r="M448">
        <v>48</v>
      </c>
      <c r="N448" t="str">
        <f t="shared" si="6"/>
        <v>Middle-Aged</v>
      </c>
      <c r="O448" t="s">
        <v>20</v>
      </c>
    </row>
    <row r="449" spans="1:15">
      <c r="A449">
        <v>20711</v>
      </c>
      <c r="B449" t="s">
        <v>63</v>
      </c>
      <c r="C449" t="s">
        <v>47</v>
      </c>
      <c r="D449" s="1">
        <v>40000</v>
      </c>
      <c r="E449" t="str" cm="1">
        <f t="array" ref="E449">_xlfn.IFS(D449&lt;40000,"Low Income",D449&lt;=80000,"Moderate Income",D449&gt;80000,"High Income")</f>
        <v>Moderate Income</v>
      </c>
      <c r="F449">
        <v>1</v>
      </c>
      <c r="G449" t="s">
        <v>15</v>
      </c>
      <c r="H449" t="s">
        <v>16</v>
      </c>
      <c r="I449" t="s">
        <v>17</v>
      </c>
      <c r="J449">
        <v>0</v>
      </c>
      <c r="K449" t="s">
        <v>29</v>
      </c>
      <c r="L449" t="s">
        <v>19</v>
      </c>
      <c r="M449">
        <v>32</v>
      </c>
      <c r="N449" t="str">
        <f t="shared" si="6"/>
        <v>Middle-Aged</v>
      </c>
      <c r="O449" t="s">
        <v>17</v>
      </c>
    </row>
    <row r="450" spans="1:15">
      <c r="A450">
        <v>11383</v>
      </c>
      <c r="B450" t="s">
        <v>63</v>
      </c>
      <c r="C450" t="s">
        <v>47</v>
      </c>
      <c r="D450" s="1">
        <v>30000</v>
      </c>
      <c r="E450" t="str" cm="1">
        <f t="array" ref="E450">_xlfn.IFS(D450&lt;40000,"Low Income",D450&lt;=80000,"Moderate Income",D450&gt;80000,"High Income")</f>
        <v>Low Income</v>
      </c>
      <c r="F450">
        <v>3</v>
      </c>
      <c r="G450" t="s">
        <v>34</v>
      </c>
      <c r="H450" t="s">
        <v>22</v>
      </c>
      <c r="I450" t="s">
        <v>17</v>
      </c>
      <c r="J450">
        <v>0</v>
      </c>
      <c r="K450" t="s">
        <v>18</v>
      </c>
      <c r="L450" t="s">
        <v>19</v>
      </c>
      <c r="M450">
        <v>46</v>
      </c>
      <c r="N450" t="str">
        <f t="shared" si="6"/>
        <v>Middle-Aged</v>
      </c>
      <c r="O450" t="s">
        <v>20</v>
      </c>
    </row>
    <row r="451" spans="1:15">
      <c r="A451">
        <v>12497</v>
      </c>
      <c r="B451" t="s">
        <v>63</v>
      </c>
      <c r="C451" t="s">
        <v>47</v>
      </c>
      <c r="D451" s="1">
        <v>40000</v>
      </c>
      <c r="E451" t="str" cm="1">
        <f t="array" ref="E451">_xlfn.IFS(D451&lt;40000,"Low Income",D451&lt;=80000,"Moderate Income",D451&gt;80000,"High Income")</f>
        <v>Moderate Income</v>
      </c>
      <c r="F451">
        <v>1</v>
      </c>
      <c r="G451" t="s">
        <v>15</v>
      </c>
      <c r="H451" t="s">
        <v>16</v>
      </c>
      <c r="I451" t="s">
        <v>17</v>
      </c>
      <c r="J451">
        <v>0</v>
      </c>
      <c r="K451" t="s">
        <v>18</v>
      </c>
      <c r="L451" t="s">
        <v>19</v>
      </c>
      <c r="M451">
        <v>42</v>
      </c>
      <c r="N451" t="str">
        <f t="shared" ref="N451:N514" si="7">IF(M451&gt;=60,"Seniors",IF(M451&gt;30,"Middle-Aged",IF(M451&lt;=30,"Young Adults")))</f>
        <v>Middle-Aged</v>
      </c>
      <c r="O451" t="s">
        <v>20</v>
      </c>
    </row>
    <row r="452" spans="1:15">
      <c r="A452">
        <v>16559</v>
      </c>
      <c r="B452" t="s">
        <v>64</v>
      </c>
      <c r="C452" t="s">
        <v>47</v>
      </c>
      <c r="D452" s="1">
        <v>10000</v>
      </c>
      <c r="E452" t="str" cm="1">
        <f t="array" ref="E452">_xlfn.IFS(D452&lt;40000,"Low Income",D452&lt;=80000,"Moderate Income",D452&gt;80000,"High Income")</f>
        <v>Low Income</v>
      </c>
      <c r="F452">
        <v>2</v>
      </c>
      <c r="G452" t="s">
        <v>30</v>
      </c>
      <c r="H452" t="s">
        <v>28</v>
      </c>
      <c r="I452" t="s">
        <v>17</v>
      </c>
      <c r="J452">
        <v>0</v>
      </c>
      <c r="K452" t="s">
        <v>18</v>
      </c>
      <c r="L452" t="s">
        <v>19</v>
      </c>
      <c r="M452">
        <v>36</v>
      </c>
      <c r="N452" t="str">
        <f t="shared" si="7"/>
        <v>Middle-Aged</v>
      </c>
      <c r="O452" t="s">
        <v>17</v>
      </c>
    </row>
    <row r="453" spans="1:15">
      <c r="A453">
        <v>11585</v>
      </c>
      <c r="B453" t="s">
        <v>63</v>
      </c>
      <c r="C453" t="s">
        <v>47</v>
      </c>
      <c r="D453" s="1">
        <v>40000</v>
      </c>
      <c r="E453" t="str" cm="1">
        <f t="array" ref="E453">_xlfn.IFS(D453&lt;40000,"Low Income",D453&lt;=80000,"Moderate Income",D453&gt;80000,"High Income")</f>
        <v>Moderate Income</v>
      </c>
      <c r="F453">
        <v>1</v>
      </c>
      <c r="G453" t="s">
        <v>15</v>
      </c>
      <c r="H453" t="s">
        <v>16</v>
      </c>
      <c r="I453" t="s">
        <v>17</v>
      </c>
      <c r="J453">
        <v>0</v>
      </c>
      <c r="K453" t="s">
        <v>18</v>
      </c>
      <c r="L453" t="s">
        <v>19</v>
      </c>
      <c r="M453">
        <v>41</v>
      </c>
      <c r="N453" t="str">
        <f t="shared" si="7"/>
        <v>Middle-Aged</v>
      </c>
      <c r="O453" t="s">
        <v>20</v>
      </c>
    </row>
    <row r="454" spans="1:15">
      <c r="A454">
        <v>20277</v>
      </c>
      <c r="B454" t="s">
        <v>63</v>
      </c>
      <c r="C454" t="s">
        <v>47</v>
      </c>
      <c r="D454" s="1">
        <v>30000</v>
      </c>
      <c r="E454" t="str" cm="1">
        <f t="array" ref="E454">_xlfn.IFS(D454&lt;40000,"Low Income",D454&lt;=80000,"Moderate Income",D454&gt;80000,"High Income")</f>
        <v>Low Income</v>
      </c>
      <c r="F454">
        <v>2</v>
      </c>
      <c r="G454" t="s">
        <v>21</v>
      </c>
      <c r="H454" t="s">
        <v>22</v>
      </c>
      <c r="I454" t="s">
        <v>20</v>
      </c>
      <c r="J454">
        <v>2</v>
      </c>
      <c r="K454" t="s">
        <v>18</v>
      </c>
      <c r="L454" t="s">
        <v>27</v>
      </c>
      <c r="M454">
        <v>69</v>
      </c>
      <c r="N454" t="str">
        <f t="shared" si="7"/>
        <v>Seniors</v>
      </c>
      <c r="O454" t="s">
        <v>20</v>
      </c>
    </row>
    <row r="455" spans="1:15">
      <c r="A455">
        <v>26765</v>
      </c>
      <c r="B455" t="s">
        <v>64</v>
      </c>
      <c r="C455" t="s">
        <v>47</v>
      </c>
      <c r="D455" s="1">
        <v>70000</v>
      </c>
      <c r="E455" t="str" cm="1">
        <f t="array" ref="E455">_xlfn.IFS(D455&lt;40000,"Low Income",D455&lt;=80000,"Moderate Income",D455&gt;80000,"High Income")</f>
        <v>Moderate Income</v>
      </c>
      <c r="F455">
        <v>5</v>
      </c>
      <c r="G455" t="s">
        <v>21</v>
      </c>
      <c r="H455" t="s">
        <v>16</v>
      </c>
      <c r="I455" t="s">
        <v>17</v>
      </c>
      <c r="J455">
        <v>2</v>
      </c>
      <c r="K455" t="s">
        <v>26</v>
      </c>
      <c r="L455" t="s">
        <v>27</v>
      </c>
      <c r="M455">
        <v>45</v>
      </c>
      <c r="N455" t="str">
        <f t="shared" si="7"/>
        <v>Middle-Aged</v>
      </c>
      <c r="O455" t="s">
        <v>20</v>
      </c>
    </row>
    <row r="456" spans="1:15">
      <c r="A456">
        <v>12389</v>
      </c>
      <c r="B456" t="s">
        <v>64</v>
      </c>
      <c r="C456" t="s">
        <v>49</v>
      </c>
      <c r="D456" s="1">
        <v>30000</v>
      </c>
      <c r="E456" t="str" cm="1">
        <f t="array" ref="E456">_xlfn.IFS(D456&lt;40000,"Low Income",D456&lt;=80000,"Moderate Income",D456&gt;80000,"High Income")</f>
        <v>Low Income</v>
      </c>
      <c r="F456">
        <v>0</v>
      </c>
      <c r="G456" t="s">
        <v>30</v>
      </c>
      <c r="H456" t="s">
        <v>28</v>
      </c>
      <c r="I456" t="s">
        <v>20</v>
      </c>
      <c r="J456">
        <v>1</v>
      </c>
      <c r="K456" t="s">
        <v>24</v>
      </c>
      <c r="L456" t="s">
        <v>19</v>
      </c>
      <c r="M456">
        <v>34</v>
      </c>
      <c r="N456" t="str">
        <f t="shared" si="7"/>
        <v>Middle-Aged</v>
      </c>
      <c r="O456" t="s">
        <v>20</v>
      </c>
    </row>
    <row r="457" spans="1:15">
      <c r="A457">
        <v>13585</v>
      </c>
      <c r="B457" t="s">
        <v>63</v>
      </c>
      <c r="C457" t="s">
        <v>47</v>
      </c>
      <c r="D457" s="1">
        <v>80000</v>
      </c>
      <c r="E457" t="str" cm="1">
        <f t="array" ref="E457">_xlfn.IFS(D457&lt;40000,"Low Income",D457&lt;=80000,"Moderate Income",D457&gt;80000,"High Income")</f>
        <v>Moderate Income</v>
      </c>
      <c r="F457">
        <v>4</v>
      </c>
      <c r="G457" t="s">
        <v>21</v>
      </c>
      <c r="H457" t="s">
        <v>23</v>
      </c>
      <c r="I457" t="s">
        <v>20</v>
      </c>
      <c r="J457">
        <v>1</v>
      </c>
      <c r="K457" t="s">
        <v>24</v>
      </c>
      <c r="L457" t="s">
        <v>19</v>
      </c>
      <c r="M457">
        <v>53</v>
      </c>
      <c r="N457" t="str">
        <f t="shared" si="7"/>
        <v>Middle-Aged</v>
      </c>
      <c r="O457" t="s">
        <v>17</v>
      </c>
    </row>
    <row r="458" spans="1:15">
      <c r="A458">
        <v>26385</v>
      </c>
      <c r="B458" t="s">
        <v>64</v>
      </c>
      <c r="C458" t="s">
        <v>49</v>
      </c>
      <c r="D458" s="1">
        <v>120000</v>
      </c>
      <c r="E458" t="str" cm="1">
        <f t="array" ref="E458">_xlfn.IFS(D458&lt;40000,"Low Income",D458&lt;=80000,"Moderate Income",D458&gt;80000,"High Income")</f>
        <v>High Income</v>
      </c>
      <c r="F458">
        <v>3</v>
      </c>
      <c r="G458" t="s">
        <v>30</v>
      </c>
      <c r="H458" t="s">
        <v>23</v>
      </c>
      <c r="I458" t="s">
        <v>20</v>
      </c>
      <c r="J458">
        <v>4</v>
      </c>
      <c r="K458" t="s">
        <v>26</v>
      </c>
      <c r="L458" t="s">
        <v>19</v>
      </c>
      <c r="M458">
        <v>50</v>
      </c>
      <c r="N458" t="str">
        <f t="shared" si="7"/>
        <v>Middle-Aged</v>
      </c>
      <c r="O458" t="s">
        <v>20</v>
      </c>
    </row>
    <row r="459" spans="1:15">
      <c r="A459">
        <v>12236</v>
      </c>
      <c r="B459" t="s">
        <v>63</v>
      </c>
      <c r="C459" t="s">
        <v>47</v>
      </c>
      <c r="D459" s="1">
        <v>20000</v>
      </c>
      <c r="E459" t="str" cm="1">
        <f t="array" ref="E459">_xlfn.IFS(D459&lt;40000,"Low Income",D459&lt;=80000,"Moderate Income",D459&gt;80000,"High Income")</f>
        <v>Low Income</v>
      </c>
      <c r="F459">
        <v>1</v>
      </c>
      <c r="G459" t="s">
        <v>21</v>
      </c>
      <c r="H459" t="s">
        <v>28</v>
      </c>
      <c r="I459" t="s">
        <v>17</v>
      </c>
      <c r="J459">
        <v>0</v>
      </c>
      <c r="K459" t="s">
        <v>18</v>
      </c>
      <c r="L459" t="s">
        <v>19</v>
      </c>
      <c r="M459">
        <v>65</v>
      </c>
      <c r="N459" t="str">
        <f t="shared" si="7"/>
        <v>Seniors</v>
      </c>
      <c r="O459" t="s">
        <v>20</v>
      </c>
    </row>
    <row r="460" spans="1:15">
      <c r="A460">
        <v>21560</v>
      </c>
      <c r="B460" t="s">
        <v>63</v>
      </c>
      <c r="C460" t="s">
        <v>49</v>
      </c>
      <c r="D460" s="1">
        <v>120000</v>
      </c>
      <c r="E460" t="str" cm="1">
        <f t="array" ref="E460">_xlfn.IFS(D460&lt;40000,"Low Income",D460&lt;=80000,"Moderate Income",D460&gt;80000,"High Income")</f>
        <v>High Income</v>
      </c>
      <c r="F460">
        <v>0</v>
      </c>
      <c r="G460" t="s">
        <v>32</v>
      </c>
      <c r="H460" t="s">
        <v>23</v>
      </c>
      <c r="I460" t="s">
        <v>17</v>
      </c>
      <c r="J460">
        <v>4</v>
      </c>
      <c r="K460" t="s">
        <v>61</v>
      </c>
      <c r="L460" t="s">
        <v>27</v>
      </c>
      <c r="M460">
        <v>32</v>
      </c>
      <c r="N460" t="str">
        <f t="shared" si="7"/>
        <v>Middle-Aged</v>
      </c>
      <c r="O460" t="s">
        <v>17</v>
      </c>
    </row>
    <row r="461" spans="1:15">
      <c r="A461">
        <v>21554</v>
      </c>
      <c r="B461" t="s">
        <v>64</v>
      </c>
      <c r="C461" t="s">
        <v>47</v>
      </c>
      <c r="D461" s="1">
        <v>80000</v>
      </c>
      <c r="E461" t="str" cm="1">
        <f t="array" ref="E461">_xlfn.IFS(D461&lt;40000,"Low Income",D461&lt;=80000,"Moderate Income",D461&gt;80000,"High Income")</f>
        <v>Moderate Income</v>
      </c>
      <c r="F461">
        <v>0</v>
      </c>
      <c r="G461" t="s">
        <v>15</v>
      </c>
      <c r="H461" t="s">
        <v>23</v>
      </c>
      <c r="I461" t="s">
        <v>20</v>
      </c>
      <c r="J461">
        <v>3</v>
      </c>
      <c r="K461" t="s">
        <v>61</v>
      </c>
      <c r="L461" t="s">
        <v>27</v>
      </c>
      <c r="M461">
        <v>33</v>
      </c>
      <c r="N461" t="str">
        <f t="shared" si="7"/>
        <v>Middle-Aged</v>
      </c>
      <c r="O461" t="s">
        <v>20</v>
      </c>
    </row>
    <row r="462" spans="1:15">
      <c r="A462">
        <v>13662</v>
      </c>
      <c r="B462" t="s">
        <v>64</v>
      </c>
      <c r="C462" t="s">
        <v>49</v>
      </c>
      <c r="D462" s="1">
        <v>20000</v>
      </c>
      <c r="E462" t="str" cm="1">
        <f t="array" ref="E462">_xlfn.IFS(D462&lt;40000,"Low Income",D462&lt;=80000,"Moderate Income",D462&gt;80000,"High Income")</f>
        <v>Low Income</v>
      </c>
      <c r="F462">
        <v>0</v>
      </c>
      <c r="G462" t="s">
        <v>32</v>
      </c>
      <c r="H462" t="s">
        <v>28</v>
      </c>
      <c r="I462" t="s">
        <v>17</v>
      </c>
      <c r="J462">
        <v>2</v>
      </c>
      <c r="K462" t="s">
        <v>29</v>
      </c>
      <c r="L462" t="s">
        <v>19</v>
      </c>
      <c r="M462">
        <v>31</v>
      </c>
      <c r="N462" t="str">
        <f t="shared" si="7"/>
        <v>Middle-Aged</v>
      </c>
      <c r="O462" t="s">
        <v>17</v>
      </c>
    </row>
    <row r="463" spans="1:15">
      <c r="A463">
        <v>13089</v>
      </c>
      <c r="B463" t="s">
        <v>63</v>
      </c>
      <c r="C463" t="s">
        <v>47</v>
      </c>
      <c r="D463" s="1">
        <v>120000</v>
      </c>
      <c r="E463" t="str" cm="1">
        <f t="array" ref="E463">_xlfn.IFS(D463&lt;40000,"Low Income",D463&lt;=80000,"Moderate Income",D463&gt;80000,"High Income")</f>
        <v>High Income</v>
      </c>
      <c r="F463">
        <v>1</v>
      </c>
      <c r="G463" t="s">
        <v>15</v>
      </c>
      <c r="H463" t="s">
        <v>31</v>
      </c>
      <c r="I463" t="s">
        <v>17</v>
      </c>
      <c r="J463">
        <v>2</v>
      </c>
      <c r="K463" t="s">
        <v>18</v>
      </c>
      <c r="L463" t="s">
        <v>27</v>
      </c>
      <c r="M463">
        <v>46</v>
      </c>
      <c r="N463" t="str">
        <f t="shared" si="7"/>
        <v>Middle-Aged</v>
      </c>
      <c r="O463" t="s">
        <v>17</v>
      </c>
    </row>
    <row r="464" spans="1:15">
      <c r="A464">
        <v>14791</v>
      </c>
      <c r="B464" t="s">
        <v>63</v>
      </c>
      <c r="C464" t="s">
        <v>47</v>
      </c>
      <c r="D464" s="1">
        <v>40000</v>
      </c>
      <c r="E464" t="str" cm="1">
        <f t="array" ref="E464">_xlfn.IFS(D464&lt;40000,"Low Income",D464&lt;=80000,"Moderate Income",D464&gt;80000,"High Income")</f>
        <v>Moderate Income</v>
      </c>
      <c r="F464">
        <v>0</v>
      </c>
      <c r="G464" t="s">
        <v>15</v>
      </c>
      <c r="H464" t="s">
        <v>22</v>
      </c>
      <c r="I464" t="s">
        <v>17</v>
      </c>
      <c r="J464">
        <v>0</v>
      </c>
      <c r="K464" t="s">
        <v>18</v>
      </c>
      <c r="L464" t="s">
        <v>19</v>
      </c>
      <c r="M464">
        <v>39</v>
      </c>
      <c r="N464" t="str">
        <f t="shared" si="7"/>
        <v>Middle-Aged</v>
      </c>
      <c r="O464" t="s">
        <v>17</v>
      </c>
    </row>
    <row r="465" spans="1:15">
      <c r="A465">
        <v>19331</v>
      </c>
      <c r="B465" t="s">
        <v>64</v>
      </c>
      <c r="C465" t="s">
        <v>49</v>
      </c>
      <c r="D465" s="1">
        <v>20000</v>
      </c>
      <c r="E465" t="str" cm="1">
        <f t="array" ref="E465">_xlfn.IFS(D465&lt;40000,"Low Income",D465&lt;=80000,"Moderate Income",D465&gt;80000,"High Income")</f>
        <v>Low Income</v>
      </c>
      <c r="F465">
        <v>2</v>
      </c>
      <c r="G465" t="s">
        <v>30</v>
      </c>
      <c r="H465" t="s">
        <v>28</v>
      </c>
      <c r="I465" t="s">
        <v>17</v>
      </c>
      <c r="J465">
        <v>1</v>
      </c>
      <c r="K465" t="s">
        <v>18</v>
      </c>
      <c r="L465" t="s">
        <v>19</v>
      </c>
      <c r="M465">
        <v>40</v>
      </c>
      <c r="N465" t="str">
        <f t="shared" si="7"/>
        <v>Middle-Aged</v>
      </c>
      <c r="O465" t="s">
        <v>20</v>
      </c>
    </row>
    <row r="466" spans="1:15">
      <c r="A466">
        <v>17754</v>
      </c>
      <c r="B466" t="s">
        <v>64</v>
      </c>
      <c r="C466" t="s">
        <v>47</v>
      </c>
      <c r="D466" s="1">
        <v>30000</v>
      </c>
      <c r="E466" t="str" cm="1">
        <f t="array" ref="E466">_xlfn.IFS(D466&lt;40000,"Low Income",D466&lt;=80000,"Moderate Income",D466&gt;80000,"High Income")</f>
        <v>Low Income</v>
      </c>
      <c r="F466">
        <v>3</v>
      </c>
      <c r="G466" t="s">
        <v>15</v>
      </c>
      <c r="H466" t="s">
        <v>22</v>
      </c>
      <c r="I466" t="s">
        <v>17</v>
      </c>
      <c r="J466">
        <v>0</v>
      </c>
      <c r="K466" t="s">
        <v>18</v>
      </c>
      <c r="L466" t="s">
        <v>19</v>
      </c>
      <c r="M466">
        <v>46</v>
      </c>
      <c r="N466" t="str">
        <f t="shared" si="7"/>
        <v>Middle-Aged</v>
      </c>
      <c r="O466" t="s">
        <v>17</v>
      </c>
    </row>
    <row r="467" spans="1:15">
      <c r="A467">
        <v>11149</v>
      </c>
      <c r="B467" t="s">
        <v>63</v>
      </c>
      <c r="C467" t="s">
        <v>49</v>
      </c>
      <c r="D467" s="1">
        <v>40000</v>
      </c>
      <c r="E467" t="str" cm="1">
        <f t="array" ref="E467">_xlfn.IFS(D467&lt;40000,"Low Income",D467&lt;=80000,"Moderate Income",D467&gt;80000,"High Income")</f>
        <v>Moderate Income</v>
      </c>
      <c r="F467">
        <v>2</v>
      </c>
      <c r="G467" t="s">
        <v>15</v>
      </c>
      <c r="H467" t="s">
        <v>31</v>
      </c>
      <c r="I467" t="s">
        <v>17</v>
      </c>
      <c r="J467">
        <v>2</v>
      </c>
      <c r="K467" t="s">
        <v>18</v>
      </c>
      <c r="L467" t="s">
        <v>27</v>
      </c>
      <c r="M467">
        <v>65</v>
      </c>
      <c r="N467" t="str">
        <f t="shared" si="7"/>
        <v>Seniors</v>
      </c>
      <c r="O467" t="s">
        <v>20</v>
      </c>
    </row>
    <row r="468" spans="1:15">
      <c r="A468">
        <v>16549</v>
      </c>
      <c r="B468" t="s">
        <v>64</v>
      </c>
      <c r="C468" t="s">
        <v>47</v>
      </c>
      <c r="D468" s="1">
        <v>30000</v>
      </c>
      <c r="E468" t="str" cm="1">
        <f t="array" ref="E468">_xlfn.IFS(D468&lt;40000,"Low Income",D468&lt;=80000,"Moderate Income",D468&gt;80000,"High Income")</f>
        <v>Low Income</v>
      </c>
      <c r="F468">
        <v>3</v>
      </c>
      <c r="G468" t="s">
        <v>15</v>
      </c>
      <c r="H468" t="s">
        <v>22</v>
      </c>
      <c r="I468" t="s">
        <v>17</v>
      </c>
      <c r="J468">
        <v>0</v>
      </c>
      <c r="K468" t="s">
        <v>18</v>
      </c>
      <c r="L468" t="s">
        <v>19</v>
      </c>
      <c r="M468">
        <v>47</v>
      </c>
      <c r="N468" t="str">
        <f t="shared" si="7"/>
        <v>Middle-Aged</v>
      </c>
      <c r="O468" t="s">
        <v>17</v>
      </c>
    </row>
    <row r="469" spans="1:15">
      <c r="A469">
        <v>24305</v>
      </c>
      <c r="B469" t="s">
        <v>64</v>
      </c>
      <c r="C469" t="s">
        <v>49</v>
      </c>
      <c r="D469" s="1">
        <v>100000</v>
      </c>
      <c r="E469" t="str" cm="1">
        <f t="array" ref="E469">_xlfn.IFS(D469&lt;40000,"Low Income",D469&lt;=80000,"Moderate Income",D469&gt;80000,"High Income")</f>
        <v>High Income</v>
      </c>
      <c r="F469">
        <v>1</v>
      </c>
      <c r="G469" t="s">
        <v>15</v>
      </c>
      <c r="H469" t="s">
        <v>31</v>
      </c>
      <c r="I469" t="s">
        <v>20</v>
      </c>
      <c r="J469">
        <v>3</v>
      </c>
      <c r="K469" t="s">
        <v>18</v>
      </c>
      <c r="L469" t="s">
        <v>27</v>
      </c>
      <c r="M469">
        <v>46</v>
      </c>
      <c r="N469" t="str">
        <f t="shared" si="7"/>
        <v>Middle-Aged</v>
      </c>
      <c r="O469" t="s">
        <v>17</v>
      </c>
    </row>
    <row r="470" spans="1:15">
      <c r="A470">
        <v>18253</v>
      </c>
      <c r="B470" t="s">
        <v>63</v>
      </c>
      <c r="C470" t="s">
        <v>47</v>
      </c>
      <c r="D470" s="1">
        <v>80000</v>
      </c>
      <c r="E470" t="str" cm="1">
        <f t="array" ref="E470">_xlfn.IFS(D470&lt;40000,"Low Income",D470&lt;=80000,"Moderate Income",D470&gt;80000,"High Income")</f>
        <v>Moderate Income</v>
      </c>
      <c r="F470">
        <v>5</v>
      </c>
      <c r="G470" t="s">
        <v>34</v>
      </c>
      <c r="H470" t="s">
        <v>31</v>
      </c>
      <c r="I470" t="s">
        <v>17</v>
      </c>
      <c r="J470">
        <v>3</v>
      </c>
      <c r="K470" t="s">
        <v>18</v>
      </c>
      <c r="L470" t="s">
        <v>27</v>
      </c>
      <c r="M470">
        <v>40</v>
      </c>
      <c r="N470" t="str">
        <f t="shared" si="7"/>
        <v>Middle-Aged</v>
      </c>
      <c r="O470" t="s">
        <v>20</v>
      </c>
    </row>
    <row r="471" spans="1:15">
      <c r="A471">
        <v>20147</v>
      </c>
      <c r="B471" t="s">
        <v>63</v>
      </c>
      <c r="C471" t="s">
        <v>47</v>
      </c>
      <c r="D471" s="1">
        <v>30000</v>
      </c>
      <c r="E471" t="str" cm="1">
        <f t="array" ref="E471">_xlfn.IFS(D471&lt;40000,"Low Income",D471&lt;=80000,"Moderate Income",D471&gt;80000,"High Income")</f>
        <v>Low Income</v>
      </c>
      <c r="F471">
        <v>1</v>
      </c>
      <c r="G471" t="s">
        <v>15</v>
      </c>
      <c r="H471" t="s">
        <v>22</v>
      </c>
      <c r="I471" t="s">
        <v>17</v>
      </c>
      <c r="J471">
        <v>0</v>
      </c>
      <c r="K471" t="s">
        <v>18</v>
      </c>
      <c r="L471" t="s">
        <v>19</v>
      </c>
      <c r="M471">
        <v>65</v>
      </c>
      <c r="N471" t="str">
        <f t="shared" si="7"/>
        <v>Seniors</v>
      </c>
      <c r="O471" t="s">
        <v>20</v>
      </c>
    </row>
    <row r="472" spans="1:15">
      <c r="A472">
        <v>15612</v>
      </c>
      <c r="B472" t="s">
        <v>64</v>
      </c>
      <c r="C472" t="s">
        <v>49</v>
      </c>
      <c r="D472" s="1">
        <v>30000</v>
      </c>
      <c r="E472" t="str" cm="1">
        <f t="array" ref="E472">_xlfn.IFS(D472&lt;40000,"Low Income",D472&lt;=80000,"Moderate Income",D472&gt;80000,"High Income")</f>
        <v>Low Income</v>
      </c>
      <c r="F472">
        <v>0</v>
      </c>
      <c r="G472" t="s">
        <v>30</v>
      </c>
      <c r="H472" t="s">
        <v>28</v>
      </c>
      <c r="I472" t="s">
        <v>20</v>
      </c>
      <c r="J472">
        <v>1</v>
      </c>
      <c r="K472" t="s">
        <v>29</v>
      </c>
      <c r="L472" t="s">
        <v>19</v>
      </c>
      <c r="M472">
        <v>28</v>
      </c>
      <c r="N472" t="str">
        <f t="shared" si="7"/>
        <v>Young Adults</v>
      </c>
      <c r="O472" t="s">
        <v>20</v>
      </c>
    </row>
    <row r="473" spans="1:15">
      <c r="A473">
        <v>28323</v>
      </c>
      <c r="B473" t="s">
        <v>64</v>
      </c>
      <c r="C473" t="s">
        <v>49</v>
      </c>
      <c r="D473" s="1">
        <v>70000</v>
      </c>
      <c r="E473" t="str" cm="1">
        <f t="array" ref="E473">_xlfn.IFS(D473&lt;40000,"Low Income",D473&lt;=80000,"Moderate Income",D473&gt;80000,"High Income")</f>
        <v>Moderate Income</v>
      </c>
      <c r="F473">
        <v>0</v>
      </c>
      <c r="G473" t="s">
        <v>15</v>
      </c>
      <c r="H473" t="s">
        <v>23</v>
      </c>
      <c r="I473" t="s">
        <v>20</v>
      </c>
      <c r="J473">
        <v>2</v>
      </c>
      <c r="K473" t="s">
        <v>26</v>
      </c>
      <c r="L473" t="s">
        <v>27</v>
      </c>
      <c r="M473">
        <v>43</v>
      </c>
      <c r="N473" t="str">
        <f t="shared" si="7"/>
        <v>Middle-Aged</v>
      </c>
      <c r="O473" t="s">
        <v>17</v>
      </c>
    </row>
    <row r="474" spans="1:15">
      <c r="A474">
        <v>22634</v>
      </c>
      <c r="B474" t="s">
        <v>64</v>
      </c>
      <c r="C474" t="s">
        <v>47</v>
      </c>
      <c r="D474" s="1">
        <v>40000</v>
      </c>
      <c r="E474" t="str" cm="1">
        <f t="array" ref="E474">_xlfn.IFS(D474&lt;40000,"Low Income",D474&lt;=80000,"Moderate Income",D474&gt;80000,"High Income")</f>
        <v>Moderate Income</v>
      </c>
      <c r="F474">
        <v>0</v>
      </c>
      <c r="G474" t="s">
        <v>34</v>
      </c>
      <c r="H474" t="s">
        <v>22</v>
      </c>
      <c r="I474" t="s">
        <v>17</v>
      </c>
      <c r="J474">
        <v>0</v>
      </c>
      <c r="K474" t="s">
        <v>18</v>
      </c>
      <c r="L474" t="s">
        <v>19</v>
      </c>
      <c r="M474">
        <v>38</v>
      </c>
      <c r="N474" t="str">
        <f t="shared" si="7"/>
        <v>Middle-Aged</v>
      </c>
      <c r="O474" t="s">
        <v>17</v>
      </c>
    </row>
    <row r="475" spans="1:15">
      <c r="A475">
        <v>15665</v>
      </c>
      <c r="B475" t="s">
        <v>63</v>
      </c>
      <c r="C475" t="s">
        <v>47</v>
      </c>
      <c r="D475" s="1">
        <v>30000</v>
      </c>
      <c r="E475" t="str" cm="1">
        <f t="array" ref="E475">_xlfn.IFS(D475&lt;40000,"Low Income",D475&lt;=80000,"Moderate Income",D475&gt;80000,"High Income")</f>
        <v>Low Income</v>
      </c>
      <c r="F475">
        <v>0</v>
      </c>
      <c r="G475" t="s">
        <v>15</v>
      </c>
      <c r="H475" t="s">
        <v>22</v>
      </c>
      <c r="I475" t="s">
        <v>17</v>
      </c>
      <c r="J475">
        <v>0</v>
      </c>
      <c r="K475" t="s">
        <v>18</v>
      </c>
      <c r="L475" t="s">
        <v>19</v>
      </c>
      <c r="M475">
        <v>47</v>
      </c>
      <c r="N475" t="str">
        <f t="shared" si="7"/>
        <v>Middle-Aged</v>
      </c>
      <c r="O475" t="s">
        <v>17</v>
      </c>
    </row>
    <row r="476" spans="1:15">
      <c r="A476">
        <v>27585</v>
      </c>
      <c r="B476" t="s">
        <v>63</v>
      </c>
      <c r="C476" t="s">
        <v>47</v>
      </c>
      <c r="D476" s="1">
        <v>90000</v>
      </c>
      <c r="E476" t="str" cm="1">
        <f t="array" ref="E476">_xlfn.IFS(D476&lt;40000,"Low Income",D476&lt;=80000,"Moderate Income",D476&gt;80000,"High Income")</f>
        <v>High Income</v>
      </c>
      <c r="F476">
        <v>2</v>
      </c>
      <c r="G476" t="s">
        <v>15</v>
      </c>
      <c r="H476" t="s">
        <v>23</v>
      </c>
      <c r="I476" t="s">
        <v>20</v>
      </c>
      <c r="J476">
        <v>0</v>
      </c>
      <c r="K476" t="s">
        <v>18</v>
      </c>
      <c r="L476" t="s">
        <v>27</v>
      </c>
      <c r="M476">
        <v>36</v>
      </c>
      <c r="N476" t="str">
        <f t="shared" si="7"/>
        <v>Middle-Aged</v>
      </c>
      <c r="O476" t="s">
        <v>17</v>
      </c>
    </row>
    <row r="477" spans="1:15">
      <c r="A477">
        <v>19748</v>
      </c>
      <c r="B477" t="s">
        <v>63</v>
      </c>
      <c r="C477" t="s">
        <v>49</v>
      </c>
      <c r="D477" s="1">
        <v>20000</v>
      </c>
      <c r="E477" t="str" cm="1">
        <f t="array" ref="E477">_xlfn.IFS(D477&lt;40000,"Low Income",D477&lt;=80000,"Moderate Income",D477&gt;80000,"High Income")</f>
        <v>Low Income</v>
      </c>
      <c r="F477">
        <v>4</v>
      </c>
      <c r="G477" t="s">
        <v>30</v>
      </c>
      <c r="H477" t="s">
        <v>16</v>
      </c>
      <c r="I477" t="s">
        <v>20</v>
      </c>
      <c r="J477">
        <v>2</v>
      </c>
      <c r="K477" t="s">
        <v>29</v>
      </c>
      <c r="L477" t="s">
        <v>27</v>
      </c>
      <c r="M477">
        <v>60</v>
      </c>
      <c r="N477" t="str">
        <f t="shared" si="7"/>
        <v>Seniors</v>
      </c>
      <c r="O477" t="s">
        <v>20</v>
      </c>
    </row>
    <row r="478" spans="1:15">
      <c r="A478">
        <v>21974</v>
      </c>
      <c r="B478" t="s">
        <v>64</v>
      </c>
      <c r="C478" t="s">
        <v>47</v>
      </c>
      <c r="D478" s="1">
        <v>70000</v>
      </c>
      <c r="E478" t="str" cm="1">
        <f t="array" ref="E478">_xlfn.IFS(D478&lt;40000,"Low Income",D478&lt;=80000,"Moderate Income",D478&gt;80000,"High Income")</f>
        <v>Moderate Income</v>
      </c>
      <c r="F478">
        <v>0</v>
      </c>
      <c r="G478" t="s">
        <v>15</v>
      </c>
      <c r="H478" t="s">
        <v>23</v>
      </c>
      <c r="I478" t="s">
        <v>17</v>
      </c>
      <c r="J478">
        <v>1</v>
      </c>
      <c r="K478" t="s">
        <v>26</v>
      </c>
      <c r="L478" t="s">
        <v>27</v>
      </c>
      <c r="M478">
        <v>42</v>
      </c>
      <c r="N478" t="str">
        <f t="shared" si="7"/>
        <v>Middle-Aged</v>
      </c>
      <c r="O478" t="s">
        <v>17</v>
      </c>
    </row>
    <row r="479" spans="1:15">
      <c r="A479">
        <v>14032</v>
      </c>
      <c r="B479" t="s">
        <v>63</v>
      </c>
      <c r="C479" t="s">
        <v>49</v>
      </c>
      <c r="D479" s="1">
        <v>70000</v>
      </c>
      <c r="E479" t="str" cm="1">
        <f t="array" ref="E479">_xlfn.IFS(D479&lt;40000,"Low Income",D479&lt;=80000,"Moderate Income",D479&gt;80000,"High Income")</f>
        <v>Moderate Income</v>
      </c>
      <c r="F479">
        <v>2</v>
      </c>
      <c r="G479" t="s">
        <v>30</v>
      </c>
      <c r="H479" t="s">
        <v>16</v>
      </c>
      <c r="I479" t="s">
        <v>20</v>
      </c>
      <c r="J479">
        <v>2</v>
      </c>
      <c r="K479" t="s">
        <v>29</v>
      </c>
      <c r="L479" t="s">
        <v>27</v>
      </c>
      <c r="M479">
        <v>50</v>
      </c>
      <c r="N479" t="str">
        <f t="shared" si="7"/>
        <v>Middle-Aged</v>
      </c>
      <c r="O479" t="s">
        <v>17</v>
      </c>
    </row>
    <row r="480" spans="1:15">
      <c r="A480">
        <v>22610</v>
      </c>
      <c r="B480" t="s">
        <v>63</v>
      </c>
      <c r="C480" t="s">
        <v>49</v>
      </c>
      <c r="D480" s="1">
        <v>30000</v>
      </c>
      <c r="E480" t="str" cm="1">
        <f t="array" ref="E480">_xlfn.IFS(D480&lt;40000,"Low Income",D480&lt;=80000,"Moderate Income",D480&gt;80000,"High Income")</f>
        <v>Low Income</v>
      </c>
      <c r="F480">
        <v>0</v>
      </c>
      <c r="G480" t="s">
        <v>15</v>
      </c>
      <c r="H480" t="s">
        <v>22</v>
      </c>
      <c r="I480" t="s">
        <v>17</v>
      </c>
      <c r="J480">
        <v>0</v>
      </c>
      <c r="K480" t="s">
        <v>18</v>
      </c>
      <c r="L480" t="s">
        <v>19</v>
      </c>
      <c r="M480">
        <v>35</v>
      </c>
      <c r="N480" t="str">
        <f t="shared" si="7"/>
        <v>Middle-Aged</v>
      </c>
      <c r="O480" t="s">
        <v>17</v>
      </c>
    </row>
    <row r="481" spans="1:15">
      <c r="A481">
        <v>26984</v>
      </c>
      <c r="B481" t="s">
        <v>63</v>
      </c>
      <c r="C481" t="s">
        <v>49</v>
      </c>
      <c r="D481" s="1">
        <v>40000</v>
      </c>
      <c r="E481" t="str" cm="1">
        <f t="array" ref="E481">_xlfn.IFS(D481&lt;40000,"Low Income",D481&lt;=80000,"Moderate Income",D481&gt;80000,"High Income")</f>
        <v>Moderate Income</v>
      </c>
      <c r="F481">
        <v>1</v>
      </c>
      <c r="G481" t="s">
        <v>15</v>
      </c>
      <c r="H481" t="s">
        <v>16</v>
      </c>
      <c r="I481" t="s">
        <v>17</v>
      </c>
      <c r="J481">
        <v>1</v>
      </c>
      <c r="K481" t="s">
        <v>18</v>
      </c>
      <c r="L481" t="s">
        <v>19</v>
      </c>
      <c r="M481">
        <v>32</v>
      </c>
      <c r="N481" t="str">
        <f t="shared" si="7"/>
        <v>Middle-Aged</v>
      </c>
      <c r="O481" t="s">
        <v>17</v>
      </c>
    </row>
    <row r="482" spans="1:15">
      <c r="A482">
        <v>18294</v>
      </c>
      <c r="B482" t="s">
        <v>63</v>
      </c>
      <c r="C482" t="s">
        <v>47</v>
      </c>
      <c r="D482" s="1">
        <v>90000</v>
      </c>
      <c r="E482" t="str" cm="1">
        <f t="array" ref="E482">_xlfn.IFS(D482&lt;40000,"Low Income",D482&lt;=80000,"Moderate Income",D482&gt;80000,"High Income")</f>
        <v>High Income</v>
      </c>
      <c r="F482">
        <v>1</v>
      </c>
      <c r="G482" t="s">
        <v>15</v>
      </c>
      <c r="H482" t="s">
        <v>23</v>
      </c>
      <c r="I482" t="s">
        <v>17</v>
      </c>
      <c r="J482">
        <v>1</v>
      </c>
      <c r="K482" t="s">
        <v>26</v>
      </c>
      <c r="L482" t="s">
        <v>27</v>
      </c>
      <c r="M482">
        <v>46</v>
      </c>
      <c r="N482" t="str">
        <f t="shared" si="7"/>
        <v>Middle-Aged</v>
      </c>
      <c r="O482" t="s">
        <v>20</v>
      </c>
    </row>
    <row r="483" spans="1:15">
      <c r="A483">
        <v>28564</v>
      </c>
      <c r="B483" t="s">
        <v>64</v>
      </c>
      <c r="C483" t="s">
        <v>47</v>
      </c>
      <c r="D483" s="1">
        <v>40000</v>
      </c>
      <c r="E483" t="str" cm="1">
        <f t="array" ref="E483">_xlfn.IFS(D483&lt;40000,"Low Income",D483&lt;=80000,"Moderate Income",D483&gt;80000,"High Income")</f>
        <v>Moderate Income</v>
      </c>
      <c r="F483">
        <v>2</v>
      </c>
      <c r="G483" t="s">
        <v>21</v>
      </c>
      <c r="H483" t="s">
        <v>22</v>
      </c>
      <c r="I483" t="s">
        <v>17</v>
      </c>
      <c r="J483">
        <v>0</v>
      </c>
      <c r="K483" t="s">
        <v>29</v>
      </c>
      <c r="L483" t="s">
        <v>19</v>
      </c>
      <c r="M483">
        <v>33</v>
      </c>
      <c r="N483" t="str">
        <f t="shared" si="7"/>
        <v>Middle-Aged</v>
      </c>
      <c r="O483" t="s">
        <v>17</v>
      </c>
    </row>
    <row r="484" spans="1:15">
      <c r="A484">
        <v>28521</v>
      </c>
      <c r="B484" t="s">
        <v>64</v>
      </c>
      <c r="C484" t="s">
        <v>49</v>
      </c>
      <c r="D484" s="1">
        <v>40000</v>
      </c>
      <c r="E484" t="str" cm="1">
        <f t="array" ref="E484">_xlfn.IFS(D484&lt;40000,"Low Income",D484&lt;=80000,"Moderate Income",D484&gt;80000,"High Income")</f>
        <v>Moderate Income</v>
      </c>
      <c r="F484">
        <v>0</v>
      </c>
      <c r="G484" t="s">
        <v>34</v>
      </c>
      <c r="H484" t="s">
        <v>22</v>
      </c>
      <c r="I484" t="s">
        <v>20</v>
      </c>
      <c r="J484">
        <v>0</v>
      </c>
      <c r="K484" t="s">
        <v>18</v>
      </c>
      <c r="L484" t="s">
        <v>19</v>
      </c>
      <c r="M484">
        <v>36</v>
      </c>
      <c r="N484" t="str">
        <f t="shared" si="7"/>
        <v>Middle-Aged</v>
      </c>
      <c r="O484" t="s">
        <v>17</v>
      </c>
    </row>
    <row r="485" spans="1:15">
      <c r="A485">
        <v>15450</v>
      </c>
      <c r="B485" t="s">
        <v>63</v>
      </c>
      <c r="C485" t="s">
        <v>49</v>
      </c>
      <c r="D485" s="1">
        <v>10000</v>
      </c>
      <c r="E485" t="str" cm="1">
        <f t="array" ref="E485">_xlfn.IFS(D485&lt;40000,"Low Income",D485&lt;=80000,"Moderate Income",D485&gt;80000,"High Income")</f>
        <v>Low Income</v>
      </c>
      <c r="F485">
        <v>1</v>
      </c>
      <c r="G485" t="s">
        <v>34</v>
      </c>
      <c r="H485" t="s">
        <v>22</v>
      </c>
      <c r="I485" t="s">
        <v>17</v>
      </c>
      <c r="J485">
        <v>0</v>
      </c>
      <c r="K485" t="s">
        <v>18</v>
      </c>
      <c r="L485" t="s">
        <v>19</v>
      </c>
      <c r="M485">
        <v>70</v>
      </c>
      <c r="N485" t="str">
        <f t="shared" si="7"/>
        <v>Seniors</v>
      </c>
      <c r="O485" t="s">
        <v>20</v>
      </c>
    </row>
    <row r="486" spans="1:15">
      <c r="A486">
        <v>25681</v>
      </c>
      <c r="B486" t="s">
        <v>64</v>
      </c>
      <c r="C486" t="s">
        <v>47</v>
      </c>
      <c r="D486" s="1">
        <v>30000</v>
      </c>
      <c r="E486" t="str" cm="1">
        <f t="array" ref="E486">_xlfn.IFS(D486&lt;40000,"Low Income",D486&lt;=80000,"Moderate Income",D486&gt;80000,"High Income")</f>
        <v>Low Income</v>
      </c>
      <c r="F486">
        <v>0</v>
      </c>
      <c r="G486" t="s">
        <v>21</v>
      </c>
      <c r="H486" t="s">
        <v>22</v>
      </c>
      <c r="I486" t="s">
        <v>20</v>
      </c>
      <c r="J486">
        <v>1</v>
      </c>
      <c r="K486" t="s">
        <v>24</v>
      </c>
      <c r="L486" t="s">
        <v>19</v>
      </c>
      <c r="M486">
        <v>31</v>
      </c>
      <c r="N486" t="str">
        <f t="shared" si="7"/>
        <v>Middle-Aged</v>
      </c>
      <c r="O486" t="s">
        <v>17</v>
      </c>
    </row>
    <row r="487" spans="1:15">
      <c r="A487">
        <v>19491</v>
      </c>
      <c r="B487" t="s">
        <v>64</v>
      </c>
      <c r="C487" t="s">
        <v>49</v>
      </c>
      <c r="D487" s="1">
        <v>30000</v>
      </c>
      <c r="E487" t="str" cm="1">
        <f t="array" ref="E487">_xlfn.IFS(D487&lt;40000,"Low Income",D487&lt;=80000,"Moderate Income",D487&gt;80000,"High Income")</f>
        <v>Low Income</v>
      </c>
      <c r="F487">
        <v>2</v>
      </c>
      <c r="G487" t="s">
        <v>21</v>
      </c>
      <c r="H487" t="s">
        <v>22</v>
      </c>
      <c r="I487" t="s">
        <v>17</v>
      </c>
      <c r="J487">
        <v>2</v>
      </c>
      <c r="K487" t="s">
        <v>18</v>
      </c>
      <c r="L487" t="s">
        <v>19</v>
      </c>
      <c r="M487">
        <v>42</v>
      </c>
      <c r="N487" t="str">
        <f t="shared" si="7"/>
        <v>Middle-Aged</v>
      </c>
      <c r="O487" t="s">
        <v>20</v>
      </c>
    </row>
    <row r="488" spans="1:15">
      <c r="A488">
        <v>26415</v>
      </c>
      <c r="B488" t="s">
        <v>63</v>
      </c>
      <c r="C488" t="s">
        <v>47</v>
      </c>
      <c r="D488" s="1">
        <v>90000</v>
      </c>
      <c r="E488" t="str" cm="1">
        <f t="array" ref="E488">_xlfn.IFS(D488&lt;40000,"Low Income",D488&lt;=80000,"Moderate Income",D488&gt;80000,"High Income")</f>
        <v>High Income</v>
      </c>
      <c r="F488">
        <v>4</v>
      </c>
      <c r="G488" t="s">
        <v>32</v>
      </c>
      <c r="H488" t="s">
        <v>16</v>
      </c>
      <c r="I488" t="s">
        <v>17</v>
      </c>
      <c r="J488">
        <v>4</v>
      </c>
      <c r="K488" t="s">
        <v>61</v>
      </c>
      <c r="L488" t="s">
        <v>19</v>
      </c>
      <c r="M488">
        <v>58</v>
      </c>
      <c r="N488" t="str">
        <f t="shared" si="7"/>
        <v>Middle-Aged</v>
      </c>
      <c r="O488" t="s">
        <v>20</v>
      </c>
    </row>
    <row r="489" spans="1:15">
      <c r="A489">
        <v>12821</v>
      </c>
      <c r="B489" t="s">
        <v>63</v>
      </c>
      <c r="C489" t="s">
        <v>49</v>
      </c>
      <c r="D489" s="1">
        <v>40000</v>
      </c>
      <c r="E489" t="str" cm="1">
        <f t="array" ref="E489">_xlfn.IFS(D489&lt;40000,"Low Income",D489&lt;=80000,"Moderate Income",D489&gt;80000,"High Income")</f>
        <v>Moderate Income</v>
      </c>
      <c r="F489">
        <v>0</v>
      </c>
      <c r="G489" t="s">
        <v>15</v>
      </c>
      <c r="H489" t="s">
        <v>22</v>
      </c>
      <c r="I489" t="s">
        <v>17</v>
      </c>
      <c r="J489">
        <v>0</v>
      </c>
      <c r="K489" t="s">
        <v>18</v>
      </c>
      <c r="L489" t="s">
        <v>19</v>
      </c>
      <c r="M489">
        <v>39</v>
      </c>
      <c r="N489" t="str">
        <f t="shared" si="7"/>
        <v>Middle-Aged</v>
      </c>
      <c r="O489" t="s">
        <v>20</v>
      </c>
    </row>
    <row r="490" spans="1:15">
      <c r="A490">
        <v>15629</v>
      </c>
      <c r="B490" t="s">
        <v>64</v>
      </c>
      <c r="C490" t="s">
        <v>47</v>
      </c>
      <c r="D490" s="1">
        <v>10000</v>
      </c>
      <c r="E490" t="str" cm="1">
        <f t="array" ref="E490">_xlfn.IFS(D490&lt;40000,"Low Income",D490&lt;=80000,"Moderate Income",D490&gt;80000,"High Income")</f>
        <v>Low Income</v>
      </c>
      <c r="F490">
        <v>0</v>
      </c>
      <c r="G490" t="s">
        <v>32</v>
      </c>
      <c r="H490" t="s">
        <v>28</v>
      </c>
      <c r="I490" t="s">
        <v>17</v>
      </c>
      <c r="J490">
        <v>2</v>
      </c>
      <c r="K490" t="s">
        <v>29</v>
      </c>
      <c r="L490" t="s">
        <v>19</v>
      </c>
      <c r="M490">
        <v>34</v>
      </c>
      <c r="N490" t="str">
        <f t="shared" si="7"/>
        <v>Middle-Aged</v>
      </c>
      <c r="O490" t="s">
        <v>20</v>
      </c>
    </row>
    <row r="491" spans="1:15">
      <c r="A491">
        <v>27835</v>
      </c>
      <c r="B491" t="s">
        <v>63</v>
      </c>
      <c r="C491" t="s">
        <v>49</v>
      </c>
      <c r="D491" s="1">
        <v>20000</v>
      </c>
      <c r="E491" t="str" cm="1">
        <f t="array" ref="E491">_xlfn.IFS(D491&lt;40000,"Low Income",D491&lt;=80000,"Moderate Income",D491&gt;80000,"High Income")</f>
        <v>Low Income</v>
      </c>
      <c r="F491">
        <v>0</v>
      </c>
      <c r="G491" t="s">
        <v>32</v>
      </c>
      <c r="H491" t="s">
        <v>28</v>
      </c>
      <c r="I491" t="s">
        <v>17</v>
      </c>
      <c r="J491">
        <v>2</v>
      </c>
      <c r="K491" t="s">
        <v>18</v>
      </c>
      <c r="L491" t="s">
        <v>19</v>
      </c>
      <c r="M491">
        <v>32</v>
      </c>
      <c r="N491" t="str">
        <f t="shared" si="7"/>
        <v>Middle-Aged</v>
      </c>
      <c r="O491" t="s">
        <v>20</v>
      </c>
    </row>
    <row r="492" spans="1:15">
      <c r="A492">
        <v>11738</v>
      </c>
      <c r="B492" t="s">
        <v>63</v>
      </c>
      <c r="C492" t="s">
        <v>49</v>
      </c>
      <c r="D492" s="1">
        <v>60000</v>
      </c>
      <c r="E492" t="str" cm="1">
        <f t="array" ref="E492">_xlfn.IFS(D492&lt;40000,"Low Income",D492&lt;=80000,"Moderate Income",D492&gt;80000,"High Income")</f>
        <v>Moderate Income</v>
      </c>
      <c r="F492">
        <v>4</v>
      </c>
      <c r="G492" t="s">
        <v>15</v>
      </c>
      <c r="H492" t="s">
        <v>23</v>
      </c>
      <c r="I492" t="s">
        <v>17</v>
      </c>
      <c r="J492">
        <v>0</v>
      </c>
      <c r="K492" t="s">
        <v>24</v>
      </c>
      <c r="L492" t="s">
        <v>35</v>
      </c>
      <c r="M492">
        <v>46</v>
      </c>
      <c r="N492" t="str">
        <f t="shared" si="7"/>
        <v>Middle-Aged</v>
      </c>
      <c r="O492" t="s">
        <v>20</v>
      </c>
    </row>
    <row r="493" spans="1:15">
      <c r="A493">
        <v>25065</v>
      </c>
      <c r="B493" t="s">
        <v>63</v>
      </c>
      <c r="C493" t="s">
        <v>49</v>
      </c>
      <c r="D493" s="1">
        <v>70000</v>
      </c>
      <c r="E493" t="str" cm="1">
        <f t="array" ref="E493">_xlfn.IFS(D493&lt;40000,"Low Income",D493&lt;=80000,"Moderate Income",D493&gt;80000,"High Income")</f>
        <v>Moderate Income</v>
      </c>
      <c r="F493">
        <v>2</v>
      </c>
      <c r="G493" t="s">
        <v>32</v>
      </c>
      <c r="H493" t="s">
        <v>16</v>
      </c>
      <c r="I493" t="s">
        <v>17</v>
      </c>
      <c r="J493">
        <v>2</v>
      </c>
      <c r="K493" t="s">
        <v>26</v>
      </c>
      <c r="L493" t="s">
        <v>35</v>
      </c>
      <c r="M493">
        <v>48</v>
      </c>
      <c r="N493" t="str">
        <f t="shared" si="7"/>
        <v>Middle-Aged</v>
      </c>
      <c r="O493" t="s">
        <v>20</v>
      </c>
    </row>
    <row r="494" spans="1:15">
      <c r="A494">
        <v>26238</v>
      </c>
      <c r="B494" t="s">
        <v>64</v>
      </c>
      <c r="C494" t="s">
        <v>47</v>
      </c>
      <c r="D494" s="1">
        <v>40000</v>
      </c>
      <c r="E494" t="str" cm="1">
        <f t="array" ref="E494">_xlfn.IFS(D494&lt;40000,"Low Income",D494&lt;=80000,"Moderate Income",D494&gt;80000,"High Income")</f>
        <v>Moderate Income</v>
      </c>
      <c r="F494">
        <v>3</v>
      </c>
      <c r="G494" t="s">
        <v>21</v>
      </c>
      <c r="H494" t="s">
        <v>22</v>
      </c>
      <c r="I494" t="s">
        <v>17</v>
      </c>
      <c r="J494">
        <v>1</v>
      </c>
      <c r="K494" t="s">
        <v>29</v>
      </c>
      <c r="L494" t="s">
        <v>35</v>
      </c>
      <c r="M494">
        <v>31</v>
      </c>
      <c r="N494" t="str">
        <f t="shared" si="7"/>
        <v>Middle-Aged</v>
      </c>
      <c r="O494" t="s">
        <v>17</v>
      </c>
    </row>
    <row r="495" spans="1:15">
      <c r="A495">
        <v>23707</v>
      </c>
      <c r="B495" t="s">
        <v>64</v>
      </c>
      <c r="C495" t="s">
        <v>49</v>
      </c>
      <c r="D495" s="1">
        <v>70000</v>
      </c>
      <c r="E495" t="str" cm="1">
        <f t="array" ref="E495">_xlfn.IFS(D495&lt;40000,"Low Income",D495&lt;=80000,"Moderate Income",D495&gt;80000,"High Income")</f>
        <v>Moderate Income</v>
      </c>
      <c r="F495">
        <v>5</v>
      </c>
      <c r="G495" t="s">
        <v>15</v>
      </c>
      <c r="H495" t="s">
        <v>31</v>
      </c>
      <c r="I495" t="s">
        <v>17</v>
      </c>
      <c r="J495">
        <v>3</v>
      </c>
      <c r="K495" t="s">
        <v>61</v>
      </c>
      <c r="L495" t="s">
        <v>35</v>
      </c>
      <c r="M495">
        <v>60</v>
      </c>
      <c r="N495" t="str">
        <f t="shared" si="7"/>
        <v>Seniors</v>
      </c>
      <c r="O495" t="s">
        <v>17</v>
      </c>
    </row>
    <row r="496" spans="1:15">
      <c r="A496">
        <v>27650</v>
      </c>
      <c r="B496" t="s">
        <v>63</v>
      </c>
      <c r="C496" t="s">
        <v>49</v>
      </c>
      <c r="D496" s="1">
        <v>70000</v>
      </c>
      <c r="E496" t="str" cm="1">
        <f t="array" ref="E496">_xlfn.IFS(D496&lt;40000,"Low Income",D496&lt;=80000,"Moderate Income",D496&gt;80000,"High Income")</f>
        <v>Moderate Income</v>
      </c>
      <c r="F496">
        <v>4</v>
      </c>
      <c r="G496" t="s">
        <v>30</v>
      </c>
      <c r="H496" t="s">
        <v>23</v>
      </c>
      <c r="I496" t="s">
        <v>17</v>
      </c>
      <c r="J496">
        <v>0</v>
      </c>
      <c r="K496" t="s">
        <v>26</v>
      </c>
      <c r="L496" t="s">
        <v>35</v>
      </c>
      <c r="M496">
        <v>51</v>
      </c>
      <c r="N496" t="str">
        <f t="shared" si="7"/>
        <v>Middle-Aged</v>
      </c>
      <c r="O496" t="s">
        <v>20</v>
      </c>
    </row>
    <row r="497" spans="1:15">
      <c r="A497">
        <v>24981</v>
      </c>
      <c r="B497" t="s">
        <v>63</v>
      </c>
      <c r="C497" t="s">
        <v>49</v>
      </c>
      <c r="D497" s="1">
        <v>60000</v>
      </c>
      <c r="E497" t="str" cm="1">
        <f t="array" ref="E497">_xlfn.IFS(D497&lt;40000,"Low Income",D497&lt;=80000,"Moderate Income",D497&gt;80000,"High Income")</f>
        <v>Moderate Income</v>
      </c>
      <c r="F497">
        <v>2</v>
      </c>
      <c r="G497" t="s">
        <v>21</v>
      </c>
      <c r="H497" t="s">
        <v>23</v>
      </c>
      <c r="I497" t="s">
        <v>17</v>
      </c>
      <c r="J497">
        <v>2</v>
      </c>
      <c r="K497" t="s">
        <v>61</v>
      </c>
      <c r="L497" t="s">
        <v>35</v>
      </c>
      <c r="M497">
        <v>56</v>
      </c>
      <c r="N497" t="str">
        <f t="shared" si="7"/>
        <v>Middle-Aged</v>
      </c>
      <c r="O497" t="s">
        <v>20</v>
      </c>
    </row>
    <row r="498" spans="1:15">
      <c r="A498">
        <v>20678</v>
      </c>
      <c r="B498" t="s">
        <v>64</v>
      </c>
      <c r="C498" t="s">
        <v>47</v>
      </c>
      <c r="D498" s="1">
        <v>60000</v>
      </c>
      <c r="E498" t="str" cm="1">
        <f t="array" ref="E498">_xlfn.IFS(D498&lt;40000,"Low Income",D498&lt;=80000,"Moderate Income",D498&gt;80000,"High Income")</f>
        <v>Moderate Income</v>
      </c>
      <c r="F498">
        <v>3</v>
      </c>
      <c r="G498" t="s">
        <v>15</v>
      </c>
      <c r="H498" t="s">
        <v>16</v>
      </c>
      <c r="I498" t="s">
        <v>17</v>
      </c>
      <c r="J498">
        <v>1</v>
      </c>
      <c r="K498" t="s">
        <v>24</v>
      </c>
      <c r="L498" t="s">
        <v>35</v>
      </c>
      <c r="M498">
        <v>40</v>
      </c>
      <c r="N498" t="str">
        <f t="shared" si="7"/>
        <v>Middle-Aged</v>
      </c>
      <c r="O498" t="s">
        <v>17</v>
      </c>
    </row>
    <row r="499" spans="1:15">
      <c r="A499">
        <v>15302</v>
      </c>
      <c r="B499" t="s">
        <v>64</v>
      </c>
      <c r="C499" t="s">
        <v>47</v>
      </c>
      <c r="D499" s="1">
        <v>70000</v>
      </c>
      <c r="E499" t="str" cm="1">
        <f t="array" ref="E499">_xlfn.IFS(D499&lt;40000,"Low Income",D499&lt;=80000,"Moderate Income",D499&gt;80000,"High Income")</f>
        <v>Moderate Income</v>
      </c>
      <c r="F499">
        <v>1</v>
      </c>
      <c r="G499" t="s">
        <v>34</v>
      </c>
      <c r="H499" t="s">
        <v>23</v>
      </c>
      <c r="I499" t="s">
        <v>17</v>
      </c>
      <c r="J499">
        <v>0</v>
      </c>
      <c r="K499" t="s">
        <v>24</v>
      </c>
      <c r="L499" t="s">
        <v>35</v>
      </c>
      <c r="M499">
        <v>34</v>
      </c>
      <c r="N499" t="str">
        <f t="shared" si="7"/>
        <v>Middle-Aged</v>
      </c>
      <c r="O499" t="s">
        <v>17</v>
      </c>
    </row>
    <row r="500" spans="1:15">
      <c r="A500">
        <v>26012</v>
      </c>
      <c r="B500" t="s">
        <v>63</v>
      </c>
      <c r="C500" t="s">
        <v>49</v>
      </c>
      <c r="D500" s="1">
        <v>80000</v>
      </c>
      <c r="E500" t="str" cm="1">
        <f t="array" ref="E500">_xlfn.IFS(D500&lt;40000,"Low Income",D500&lt;=80000,"Moderate Income",D500&gt;80000,"High Income")</f>
        <v>Moderate Income</v>
      </c>
      <c r="F500">
        <v>1</v>
      </c>
      <c r="G500" t="s">
        <v>21</v>
      </c>
      <c r="H500" t="s">
        <v>16</v>
      </c>
      <c r="I500" t="s">
        <v>17</v>
      </c>
      <c r="J500">
        <v>1</v>
      </c>
      <c r="K500" t="s">
        <v>24</v>
      </c>
      <c r="L500" t="s">
        <v>35</v>
      </c>
      <c r="M500">
        <v>48</v>
      </c>
      <c r="N500" t="str">
        <f t="shared" si="7"/>
        <v>Middle-Aged</v>
      </c>
      <c r="O500" t="s">
        <v>17</v>
      </c>
    </row>
    <row r="501" spans="1:15">
      <c r="A501">
        <v>26575</v>
      </c>
      <c r="B501" t="s">
        <v>64</v>
      </c>
      <c r="C501" t="s">
        <v>47</v>
      </c>
      <c r="D501" s="1">
        <v>40000</v>
      </c>
      <c r="E501" t="str" cm="1">
        <f t="array" ref="E501">_xlfn.IFS(D501&lt;40000,"Low Income",D501&lt;=80000,"Moderate Income",D501&gt;80000,"High Income")</f>
        <v>Moderate Income</v>
      </c>
      <c r="F501">
        <v>0</v>
      </c>
      <c r="G501" t="s">
        <v>30</v>
      </c>
      <c r="H501" t="s">
        <v>16</v>
      </c>
      <c r="I501" t="s">
        <v>20</v>
      </c>
      <c r="J501">
        <v>2</v>
      </c>
      <c r="K501" t="s">
        <v>29</v>
      </c>
      <c r="L501" t="s">
        <v>35</v>
      </c>
      <c r="M501">
        <v>31</v>
      </c>
      <c r="N501" t="str">
        <f t="shared" si="7"/>
        <v>Middle-Aged</v>
      </c>
      <c r="O501" t="s">
        <v>17</v>
      </c>
    </row>
    <row r="502" spans="1:15">
      <c r="A502">
        <v>15559</v>
      </c>
      <c r="B502" t="s">
        <v>63</v>
      </c>
      <c r="C502" t="s">
        <v>49</v>
      </c>
      <c r="D502" s="1">
        <v>60000</v>
      </c>
      <c r="E502" t="str" cm="1">
        <f t="array" ref="E502">_xlfn.IFS(D502&lt;40000,"Low Income",D502&lt;=80000,"Moderate Income",D502&gt;80000,"High Income")</f>
        <v>Moderate Income</v>
      </c>
      <c r="F502">
        <v>5</v>
      </c>
      <c r="G502" t="s">
        <v>15</v>
      </c>
      <c r="H502" t="s">
        <v>23</v>
      </c>
      <c r="I502" t="s">
        <v>17</v>
      </c>
      <c r="J502">
        <v>1</v>
      </c>
      <c r="K502" t="s">
        <v>24</v>
      </c>
      <c r="L502" t="s">
        <v>35</v>
      </c>
      <c r="M502">
        <v>47</v>
      </c>
      <c r="N502" t="str">
        <f t="shared" si="7"/>
        <v>Middle-Aged</v>
      </c>
      <c r="O502" t="s">
        <v>20</v>
      </c>
    </row>
    <row r="503" spans="1:15">
      <c r="A503">
        <v>19235</v>
      </c>
      <c r="B503" t="s">
        <v>63</v>
      </c>
      <c r="C503" t="s">
        <v>47</v>
      </c>
      <c r="D503" s="1">
        <v>50000</v>
      </c>
      <c r="E503" t="str" cm="1">
        <f t="array" ref="E503">_xlfn.IFS(D503&lt;40000,"Low Income",D503&lt;=80000,"Moderate Income",D503&gt;80000,"High Income")</f>
        <v>Moderate Income</v>
      </c>
      <c r="F503">
        <v>0</v>
      </c>
      <c r="G503" t="s">
        <v>34</v>
      </c>
      <c r="H503" t="s">
        <v>16</v>
      </c>
      <c r="I503" t="s">
        <v>17</v>
      </c>
      <c r="J503">
        <v>0</v>
      </c>
      <c r="K503" t="s">
        <v>18</v>
      </c>
      <c r="L503" t="s">
        <v>35</v>
      </c>
      <c r="M503">
        <v>34</v>
      </c>
      <c r="N503" t="str">
        <f t="shared" si="7"/>
        <v>Middle-Aged</v>
      </c>
      <c r="O503" t="s">
        <v>20</v>
      </c>
    </row>
    <row r="504" spans="1:15">
      <c r="A504">
        <v>15275</v>
      </c>
      <c r="B504" t="s">
        <v>63</v>
      </c>
      <c r="C504" t="s">
        <v>49</v>
      </c>
      <c r="D504" s="1">
        <v>40000</v>
      </c>
      <c r="E504" t="str" cm="1">
        <f t="array" ref="E504">_xlfn.IFS(D504&lt;40000,"Low Income",D504&lt;=80000,"Moderate Income",D504&gt;80000,"High Income")</f>
        <v>Moderate Income</v>
      </c>
      <c r="F504">
        <v>0</v>
      </c>
      <c r="G504" t="s">
        <v>21</v>
      </c>
      <c r="H504" t="s">
        <v>16</v>
      </c>
      <c r="I504" t="s">
        <v>17</v>
      </c>
      <c r="J504">
        <v>1</v>
      </c>
      <c r="K504" t="s">
        <v>26</v>
      </c>
      <c r="L504" t="s">
        <v>35</v>
      </c>
      <c r="M504">
        <v>29</v>
      </c>
      <c r="N504" t="str">
        <f t="shared" si="7"/>
        <v>Young Adults</v>
      </c>
      <c r="O504" t="s">
        <v>20</v>
      </c>
    </row>
    <row r="505" spans="1:15">
      <c r="A505">
        <v>20339</v>
      </c>
      <c r="B505" t="s">
        <v>63</v>
      </c>
      <c r="C505" t="s">
        <v>47</v>
      </c>
      <c r="D505" s="1">
        <v>130000</v>
      </c>
      <c r="E505" t="str" cm="1">
        <f t="array" ref="E505">_xlfn.IFS(D505&lt;40000,"Low Income",D505&lt;=80000,"Moderate Income",D505&gt;80000,"High Income")</f>
        <v>High Income</v>
      </c>
      <c r="F505">
        <v>1</v>
      </c>
      <c r="G505" t="s">
        <v>15</v>
      </c>
      <c r="H505" t="s">
        <v>31</v>
      </c>
      <c r="I505" t="s">
        <v>17</v>
      </c>
      <c r="J505">
        <v>4</v>
      </c>
      <c r="K505" t="s">
        <v>24</v>
      </c>
      <c r="L505" t="s">
        <v>35</v>
      </c>
      <c r="M505">
        <v>44</v>
      </c>
      <c r="N505" t="str">
        <f t="shared" si="7"/>
        <v>Middle-Aged</v>
      </c>
      <c r="O505" t="s">
        <v>17</v>
      </c>
    </row>
    <row r="506" spans="1:15">
      <c r="A506">
        <v>25405</v>
      </c>
      <c r="B506" t="s">
        <v>63</v>
      </c>
      <c r="C506" t="s">
        <v>49</v>
      </c>
      <c r="D506" s="1">
        <v>70000</v>
      </c>
      <c r="E506" t="str" cm="1">
        <f t="array" ref="E506">_xlfn.IFS(D506&lt;40000,"Low Income",D506&lt;=80000,"Moderate Income",D506&gt;80000,"High Income")</f>
        <v>Moderate Income</v>
      </c>
      <c r="F506">
        <v>2</v>
      </c>
      <c r="G506" t="s">
        <v>15</v>
      </c>
      <c r="H506" t="s">
        <v>16</v>
      </c>
      <c r="I506" t="s">
        <v>17</v>
      </c>
      <c r="J506">
        <v>1</v>
      </c>
      <c r="K506" t="s">
        <v>24</v>
      </c>
      <c r="L506" t="s">
        <v>35</v>
      </c>
      <c r="M506">
        <v>38</v>
      </c>
      <c r="N506" t="str">
        <f t="shared" si="7"/>
        <v>Middle-Aged</v>
      </c>
      <c r="O506" t="s">
        <v>17</v>
      </c>
    </row>
    <row r="507" spans="1:15">
      <c r="A507">
        <v>15940</v>
      </c>
      <c r="B507" t="s">
        <v>63</v>
      </c>
      <c r="C507" t="s">
        <v>49</v>
      </c>
      <c r="D507" s="1">
        <v>100000</v>
      </c>
      <c r="E507" t="str" cm="1">
        <f t="array" ref="E507">_xlfn.IFS(D507&lt;40000,"Low Income",D507&lt;=80000,"Moderate Income",D507&gt;80000,"High Income")</f>
        <v>High Income</v>
      </c>
      <c r="F507">
        <v>4</v>
      </c>
      <c r="G507" t="s">
        <v>21</v>
      </c>
      <c r="H507" t="s">
        <v>23</v>
      </c>
      <c r="I507" t="s">
        <v>17</v>
      </c>
      <c r="J507">
        <v>4</v>
      </c>
      <c r="K507" t="s">
        <v>18</v>
      </c>
      <c r="L507" t="s">
        <v>35</v>
      </c>
      <c r="M507">
        <v>40</v>
      </c>
      <c r="N507" t="str">
        <f t="shared" si="7"/>
        <v>Middle-Aged</v>
      </c>
      <c r="O507" t="s">
        <v>20</v>
      </c>
    </row>
    <row r="508" spans="1:15">
      <c r="A508">
        <v>25074</v>
      </c>
      <c r="B508" t="s">
        <v>63</v>
      </c>
      <c r="C508" t="s">
        <v>47</v>
      </c>
      <c r="D508" s="1">
        <v>70000</v>
      </c>
      <c r="E508" t="str" cm="1">
        <f t="array" ref="E508">_xlfn.IFS(D508&lt;40000,"Low Income",D508&lt;=80000,"Moderate Income",D508&gt;80000,"High Income")</f>
        <v>Moderate Income</v>
      </c>
      <c r="F508">
        <v>4</v>
      </c>
      <c r="G508" t="s">
        <v>15</v>
      </c>
      <c r="H508" t="s">
        <v>23</v>
      </c>
      <c r="I508" t="s">
        <v>17</v>
      </c>
      <c r="J508">
        <v>2</v>
      </c>
      <c r="K508" t="s">
        <v>24</v>
      </c>
      <c r="L508" t="s">
        <v>35</v>
      </c>
      <c r="M508">
        <v>42</v>
      </c>
      <c r="N508" t="str">
        <f t="shared" si="7"/>
        <v>Middle-Aged</v>
      </c>
      <c r="O508" t="s">
        <v>17</v>
      </c>
    </row>
    <row r="509" spans="1:15">
      <c r="A509">
        <v>24738</v>
      </c>
      <c r="B509" t="s">
        <v>63</v>
      </c>
      <c r="C509" t="s">
        <v>47</v>
      </c>
      <c r="D509" s="1">
        <v>40000</v>
      </c>
      <c r="E509" t="str" cm="1">
        <f t="array" ref="E509">_xlfn.IFS(D509&lt;40000,"Low Income",D509&lt;=80000,"Moderate Income",D509&gt;80000,"High Income")</f>
        <v>Moderate Income</v>
      </c>
      <c r="F509">
        <v>1</v>
      </c>
      <c r="G509" t="s">
        <v>21</v>
      </c>
      <c r="H509" t="s">
        <v>22</v>
      </c>
      <c r="I509" t="s">
        <v>17</v>
      </c>
      <c r="J509">
        <v>1</v>
      </c>
      <c r="K509" t="s">
        <v>29</v>
      </c>
      <c r="L509" t="s">
        <v>35</v>
      </c>
      <c r="M509">
        <v>51</v>
      </c>
      <c r="N509" t="str">
        <f t="shared" si="7"/>
        <v>Middle-Aged</v>
      </c>
      <c r="O509" t="s">
        <v>17</v>
      </c>
    </row>
    <row r="510" spans="1:15">
      <c r="A510">
        <v>16337</v>
      </c>
      <c r="B510" t="s">
        <v>63</v>
      </c>
      <c r="C510" t="s">
        <v>49</v>
      </c>
      <c r="D510" s="1">
        <v>60000</v>
      </c>
      <c r="E510" t="str" cm="1">
        <f t="array" ref="E510">_xlfn.IFS(D510&lt;40000,"Low Income",D510&lt;=80000,"Moderate Income",D510&gt;80000,"High Income")</f>
        <v>Moderate Income</v>
      </c>
      <c r="F510">
        <v>0</v>
      </c>
      <c r="G510" t="s">
        <v>21</v>
      </c>
      <c r="H510" t="s">
        <v>16</v>
      </c>
      <c r="I510" t="s">
        <v>20</v>
      </c>
      <c r="J510">
        <v>2</v>
      </c>
      <c r="K510" t="s">
        <v>29</v>
      </c>
      <c r="L510" t="s">
        <v>35</v>
      </c>
      <c r="M510">
        <v>29</v>
      </c>
      <c r="N510" t="str">
        <f t="shared" si="7"/>
        <v>Young Adults</v>
      </c>
      <c r="O510" t="s">
        <v>20</v>
      </c>
    </row>
    <row r="511" spans="1:15">
      <c r="A511">
        <v>24357</v>
      </c>
      <c r="B511" t="s">
        <v>63</v>
      </c>
      <c r="C511" t="s">
        <v>49</v>
      </c>
      <c r="D511" s="1">
        <v>80000</v>
      </c>
      <c r="E511" t="str" cm="1">
        <f t="array" ref="E511">_xlfn.IFS(D511&lt;40000,"Low Income",D511&lt;=80000,"Moderate Income",D511&gt;80000,"High Income")</f>
        <v>Moderate Income</v>
      </c>
      <c r="F511">
        <v>3</v>
      </c>
      <c r="G511" t="s">
        <v>15</v>
      </c>
      <c r="H511" t="s">
        <v>23</v>
      </c>
      <c r="I511" t="s">
        <v>17</v>
      </c>
      <c r="J511">
        <v>1</v>
      </c>
      <c r="K511" t="s">
        <v>24</v>
      </c>
      <c r="L511" t="s">
        <v>35</v>
      </c>
      <c r="M511">
        <v>48</v>
      </c>
      <c r="N511" t="str">
        <f t="shared" si="7"/>
        <v>Middle-Aged</v>
      </c>
      <c r="O511" t="s">
        <v>17</v>
      </c>
    </row>
    <row r="512" spans="1:15">
      <c r="A512">
        <v>18613</v>
      </c>
      <c r="B512" t="s">
        <v>64</v>
      </c>
      <c r="C512" t="s">
        <v>49</v>
      </c>
      <c r="D512" s="1">
        <v>70000</v>
      </c>
      <c r="E512" t="str" cm="1">
        <f t="array" ref="E512">_xlfn.IFS(D512&lt;40000,"Low Income",D512&lt;=80000,"Moderate Income",D512&gt;80000,"High Income")</f>
        <v>Moderate Income</v>
      </c>
      <c r="F512">
        <v>0</v>
      </c>
      <c r="G512" t="s">
        <v>15</v>
      </c>
      <c r="H512" t="s">
        <v>23</v>
      </c>
      <c r="I512" t="s">
        <v>20</v>
      </c>
      <c r="J512">
        <v>1</v>
      </c>
      <c r="K512" t="s">
        <v>24</v>
      </c>
      <c r="L512" t="s">
        <v>35</v>
      </c>
      <c r="M512">
        <v>37</v>
      </c>
      <c r="N512" t="str">
        <f t="shared" si="7"/>
        <v>Middle-Aged</v>
      </c>
      <c r="O512" t="s">
        <v>17</v>
      </c>
    </row>
    <row r="513" spans="1:15">
      <c r="A513">
        <v>12207</v>
      </c>
      <c r="B513" t="s">
        <v>64</v>
      </c>
      <c r="C513" t="s">
        <v>49</v>
      </c>
      <c r="D513" s="1">
        <v>80000</v>
      </c>
      <c r="E513" t="str" cm="1">
        <f t="array" ref="E513">_xlfn.IFS(D513&lt;40000,"Low Income",D513&lt;=80000,"Moderate Income",D513&gt;80000,"High Income")</f>
        <v>Moderate Income</v>
      </c>
      <c r="F513">
        <v>4</v>
      </c>
      <c r="G513" t="s">
        <v>15</v>
      </c>
      <c r="H513" t="s">
        <v>31</v>
      </c>
      <c r="I513" t="s">
        <v>17</v>
      </c>
      <c r="J513">
        <v>0</v>
      </c>
      <c r="K513" t="s">
        <v>26</v>
      </c>
      <c r="L513" t="s">
        <v>35</v>
      </c>
      <c r="M513">
        <v>66</v>
      </c>
      <c r="N513" t="str">
        <f t="shared" si="7"/>
        <v>Seniors</v>
      </c>
      <c r="O513" t="s">
        <v>17</v>
      </c>
    </row>
    <row r="514" spans="1:15">
      <c r="A514">
        <v>18052</v>
      </c>
      <c r="B514" t="s">
        <v>63</v>
      </c>
      <c r="C514" t="s">
        <v>47</v>
      </c>
      <c r="D514" s="1">
        <v>60000</v>
      </c>
      <c r="E514" t="str" cm="1">
        <f t="array" ref="E514">_xlfn.IFS(D514&lt;40000,"Low Income",D514&lt;=80000,"Moderate Income",D514&gt;80000,"High Income")</f>
        <v>Moderate Income</v>
      </c>
      <c r="F514">
        <v>1</v>
      </c>
      <c r="G514" t="s">
        <v>21</v>
      </c>
      <c r="H514" t="s">
        <v>16</v>
      </c>
      <c r="I514" t="s">
        <v>17</v>
      </c>
      <c r="J514">
        <v>1</v>
      </c>
      <c r="K514" t="s">
        <v>18</v>
      </c>
      <c r="L514" t="s">
        <v>35</v>
      </c>
      <c r="M514">
        <v>45</v>
      </c>
      <c r="N514" t="str">
        <f t="shared" si="7"/>
        <v>Middle-Aged</v>
      </c>
      <c r="O514" t="s">
        <v>17</v>
      </c>
    </row>
    <row r="515" spans="1:15">
      <c r="A515">
        <v>13353</v>
      </c>
      <c r="B515" t="s">
        <v>64</v>
      </c>
      <c r="C515" t="s">
        <v>47</v>
      </c>
      <c r="D515" s="1">
        <v>60000</v>
      </c>
      <c r="E515" t="str" cm="1">
        <f t="array" ref="E515">_xlfn.IFS(D515&lt;40000,"Low Income",D515&lt;=80000,"Moderate Income",D515&gt;80000,"High Income")</f>
        <v>Moderate Income</v>
      </c>
      <c r="F515">
        <v>4</v>
      </c>
      <c r="G515" t="s">
        <v>34</v>
      </c>
      <c r="H515" t="s">
        <v>31</v>
      </c>
      <c r="I515" t="s">
        <v>17</v>
      </c>
      <c r="J515">
        <v>2</v>
      </c>
      <c r="K515" t="s">
        <v>61</v>
      </c>
      <c r="L515" t="s">
        <v>35</v>
      </c>
      <c r="M515">
        <v>61</v>
      </c>
      <c r="N515" t="str">
        <f t="shared" ref="N515:N578" si="8">IF(M515&gt;=60,"Seniors",IF(M515&gt;30,"Middle-Aged",IF(M515&lt;=30,"Young Adults")))</f>
        <v>Seniors</v>
      </c>
      <c r="O515" t="s">
        <v>17</v>
      </c>
    </row>
    <row r="516" spans="1:15">
      <c r="A516">
        <v>19399</v>
      </c>
      <c r="B516" t="s">
        <v>64</v>
      </c>
      <c r="C516" t="s">
        <v>49</v>
      </c>
      <c r="D516" s="1">
        <v>40000</v>
      </c>
      <c r="E516" t="str" cm="1">
        <f t="array" ref="E516">_xlfn.IFS(D516&lt;40000,"Low Income",D516&lt;=80000,"Moderate Income",D516&gt;80000,"High Income")</f>
        <v>Moderate Income</v>
      </c>
      <c r="F516">
        <v>0</v>
      </c>
      <c r="G516" t="s">
        <v>15</v>
      </c>
      <c r="H516" t="s">
        <v>23</v>
      </c>
      <c r="I516" t="s">
        <v>20</v>
      </c>
      <c r="J516">
        <v>1</v>
      </c>
      <c r="K516" t="s">
        <v>24</v>
      </c>
      <c r="L516" t="s">
        <v>35</v>
      </c>
      <c r="M516">
        <v>45</v>
      </c>
      <c r="N516" t="str">
        <f t="shared" si="8"/>
        <v>Middle-Aged</v>
      </c>
      <c r="O516" t="s">
        <v>20</v>
      </c>
    </row>
    <row r="517" spans="1:15">
      <c r="A517">
        <v>16154</v>
      </c>
      <c r="B517" t="s">
        <v>63</v>
      </c>
      <c r="C517" t="s">
        <v>47</v>
      </c>
      <c r="D517" s="1">
        <v>70000</v>
      </c>
      <c r="E517" t="str" cm="1">
        <f t="array" ref="E517">_xlfn.IFS(D517&lt;40000,"Low Income",D517&lt;=80000,"Moderate Income",D517&gt;80000,"High Income")</f>
        <v>Moderate Income</v>
      </c>
      <c r="F517">
        <v>5</v>
      </c>
      <c r="G517" t="s">
        <v>15</v>
      </c>
      <c r="H517" t="s">
        <v>23</v>
      </c>
      <c r="I517" t="s">
        <v>17</v>
      </c>
      <c r="J517">
        <v>2</v>
      </c>
      <c r="K517" t="s">
        <v>24</v>
      </c>
      <c r="L517" t="s">
        <v>35</v>
      </c>
      <c r="M517">
        <v>47</v>
      </c>
      <c r="N517" t="str">
        <f t="shared" si="8"/>
        <v>Middle-Aged</v>
      </c>
      <c r="O517" t="s">
        <v>20</v>
      </c>
    </row>
    <row r="518" spans="1:15">
      <c r="A518">
        <v>22219</v>
      </c>
      <c r="B518" t="s">
        <v>63</v>
      </c>
      <c r="C518" t="s">
        <v>47</v>
      </c>
      <c r="D518" s="1">
        <v>60000</v>
      </c>
      <c r="E518" t="str" cm="1">
        <f t="array" ref="E518">_xlfn.IFS(D518&lt;40000,"Low Income",D518&lt;=80000,"Moderate Income",D518&gt;80000,"High Income")</f>
        <v>Moderate Income</v>
      </c>
      <c r="F518">
        <v>2</v>
      </c>
      <c r="G518" t="s">
        <v>30</v>
      </c>
      <c r="H518" t="s">
        <v>23</v>
      </c>
      <c r="I518" t="s">
        <v>17</v>
      </c>
      <c r="J518">
        <v>2</v>
      </c>
      <c r="K518" t="s">
        <v>26</v>
      </c>
      <c r="L518" t="s">
        <v>35</v>
      </c>
      <c r="M518">
        <v>49</v>
      </c>
      <c r="N518" t="str">
        <f t="shared" si="8"/>
        <v>Middle-Aged</v>
      </c>
      <c r="O518" t="s">
        <v>20</v>
      </c>
    </row>
    <row r="519" spans="1:15">
      <c r="A519">
        <v>17269</v>
      </c>
      <c r="B519" t="s">
        <v>64</v>
      </c>
      <c r="C519" t="s">
        <v>49</v>
      </c>
      <c r="D519" s="1">
        <v>60000</v>
      </c>
      <c r="E519" t="str" cm="1">
        <f t="array" ref="E519">_xlfn.IFS(D519&lt;40000,"Low Income",D519&lt;=80000,"Moderate Income",D519&gt;80000,"High Income")</f>
        <v>Moderate Income</v>
      </c>
      <c r="F519">
        <v>3</v>
      </c>
      <c r="G519" t="s">
        <v>15</v>
      </c>
      <c r="H519" t="s">
        <v>23</v>
      </c>
      <c r="I519" t="s">
        <v>20</v>
      </c>
      <c r="J519">
        <v>0</v>
      </c>
      <c r="K519" t="s">
        <v>18</v>
      </c>
      <c r="L519" t="s">
        <v>35</v>
      </c>
      <c r="M519">
        <v>47</v>
      </c>
      <c r="N519" t="str">
        <f t="shared" si="8"/>
        <v>Middle-Aged</v>
      </c>
      <c r="O519" t="s">
        <v>17</v>
      </c>
    </row>
    <row r="520" spans="1:15">
      <c r="A520">
        <v>23586</v>
      </c>
      <c r="B520" t="s">
        <v>63</v>
      </c>
      <c r="C520" t="s">
        <v>47</v>
      </c>
      <c r="D520" s="1">
        <v>80000</v>
      </c>
      <c r="E520" t="str" cm="1">
        <f t="array" ref="E520">_xlfn.IFS(D520&lt;40000,"Low Income",D520&lt;=80000,"Moderate Income",D520&gt;80000,"High Income")</f>
        <v>Moderate Income</v>
      </c>
      <c r="F520">
        <v>0</v>
      </c>
      <c r="G520" t="s">
        <v>15</v>
      </c>
      <c r="H520" t="s">
        <v>31</v>
      </c>
      <c r="I520" t="s">
        <v>17</v>
      </c>
      <c r="J520">
        <v>1</v>
      </c>
      <c r="K520" t="s">
        <v>29</v>
      </c>
      <c r="L520" t="s">
        <v>35</v>
      </c>
      <c r="M520">
        <v>34</v>
      </c>
      <c r="N520" t="str">
        <f t="shared" si="8"/>
        <v>Middle-Aged</v>
      </c>
      <c r="O520" t="s">
        <v>17</v>
      </c>
    </row>
    <row r="521" spans="1:15">
      <c r="A521">
        <v>15740</v>
      </c>
      <c r="B521" t="s">
        <v>63</v>
      </c>
      <c r="C521" t="s">
        <v>49</v>
      </c>
      <c r="D521" s="1">
        <v>80000</v>
      </c>
      <c r="E521" t="str" cm="1">
        <f t="array" ref="E521">_xlfn.IFS(D521&lt;40000,"Low Income",D521&lt;=80000,"Moderate Income",D521&gt;80000,"High Income")</f>
        <v>Moderate Income</v>
      </c>
      <c r="F521">
        <v>5</v>
      </c>
      <c r="G521" t="s">
        <v>15</v>
      </c>
      <c r="H521" t="s">
        <v>31</v>
      </c>
      <c r="I521" t="s">
        <v>17</v>
      </c>
      <c r="J521">
        <v>2</v>
      </c>
      <c r="K521" t="s">
        <v>29</v>
      </c>
      <c r="L521" t="s">
        <v>35</v>
      </c>
      <c r="M521">
        <v>64</v>
      </c>
      <c r="N521" t="str">
        <f t="shared" si="8"/>
        <v>Seniors</v>
      </c>
      <c r="O521" t="s">
        <v>20</v>
      </c>
    </row>
    <row r="522" spans="1:15">
      <c r="A522">
        <v>27638</v>
      </c>
      <c r="B522" t="s">
        <v>64</v>
      </c>
      <c r="C522" t="s">
        <v>49</v>
      </c>
      <c r="D522" s="1">
        <v>100000</v>
      </c>
      <c r="E522" t="str" cm="1">
        <f t="array" ref="E522">_xlfn.IFS(D522&lt;40000,"Low Income",D522&lt;=80000,"Moderate Income",D522&gt;80000,"High Income")</f>
        <v>High Income</v>
      </c>
      <c r="F522">
        <v>1</v>
      </c>
      <c r="G522" t="s">
        <v>21</v>
      </c>
      <c r="H522" t="s">
        <v>23</v>
      </c>
      <c r="I522" t="s">
        <v>20</v>
      </c>
      <c r="J522">
        <v>3</v>
      </c>
      <c r="K522" t="s">
        <v>29</v>
      </c>
      <c r="L522" t="s">
        <v>35</v>
      </c>
      <c r="M522">
        <v>44</v>
      </c>
      <c r="N522" t="str">
        <f t="shared" si="8"/>
        <v>Middle-Aged</v>
      </c>
      <c r="O522" t="s">
        <v>20</v>
      </c>
    </row>
    <row r="523" spans="1:15">
      <c r="A523">
        <v>18976</v>
      </c>
      <c r="B523" t="s">
        <v>64</v>
      </c>
      <c r="C523" t="s">
        <v>49</v>
      </c>
      <c r="D523" s="1">
        <v>40000</v>
      </c>
      <c r="E523" t="str" cm="1">
        <f t="array" ref="E523">_xlfn.IFS(D523&lt;40000,"Low Income",D523&lt;=80000,"Moderate Income",D523&gt;80000,"High Income")</f>
        <v>Moderate Income</v>
      </c>
      <c r="F523">
        <v>4</v>
      </c>
      <c r="G523" t="s">
        <v>30</v>
      </c>
      <c r="H523" t="s">
        <v>23</v>
      </c>
      <c r="I523" t="s">
        <v>17</v>
      </c>
      <c r="J523">
        <v>2</v>
      </c>
      <c r="K523" t="s">
        <v>61</v>
      </c>
      <c r="L523" t="s">
        <v>35</v>
      </c>
      <c r="M523">
        <v>62</v>
      </c>
      <c r="N523" t="str">
        <f t="shared" si="8"/>
        <v>Seniors</v>
      </c>
      <c r="O523" t="s">
        <v>17</v>
      </c>
    </row>
    <row r="524" spans="1:15">
      <c r="A524">
        <v>19413</v>
      </c>
      <c r="B524" t="s">
        <v>64</v>
      </c>
      <c r="C524" t="s">
        <v>49</v>
      </c>
      <c r="D524" s="1">
        <v>60000</v>
      </c>
      <c r="E524" t="str" cm="1">
        <f t="array" ref="E524">_xlfn.IFS(D524&lt;40000,"Low Income",D524&lt;=80000,"Moderate Income",D524&gt;80000,"High Income")</f>
        <v>Moderate Income</v>
      </c>
      <c r="F524">
        <v>3</v>
      </c>
      <c r="G524" t="s">
        <v>15</v>
      </c>
      <c r="H524" t="s">
        <v>23</v>
      </c>
      <c r="I524" t="s">
        <v>20</v>
      </c>
      <c r="J524">
        <v>1</v>
      </c>
      <c r="K524" t="s">
        <v>18</v>
      </c>
      <c r="L524" t="s">
        <v>35</v>
      </c>
      <c r="M524">
        <v>47</v>
      </c>
      <c r="N524" t="str">
        <f t="shared" si="8"/>
        <v>Middle-Aged</v>
      </c>
      <c r="O524" t="s">
        <v>17</v>
      </c>
    </row>
    <row r="525" spans="1:15">
      <c r="A525">
        <v>13283</v>
      </c>
      <c r="B525" t="s">
        <v>63</v>
      </c>
      <c r="C525" t="s">
        <v>49</v>
      </c>
      <c r="D525" s="1">
        <v>80000</v>
      </c>
      <c r="E525" t="str" cm="1">
        <f t="array" ref="E525">_xlfn.IFS(D525&lt;40000,"Low Income",D525&lt;=80000,"Moderate Income",D525&gt;80000,"High Income")</f>
        <v>Moderate Income</v>
      </c>
      <c r="F525">
        <v>3</v>
      </c>
      <c r="G525" t="s">
        <v>21</v>
      </c>
      <c r="H525" t="s">
        <v>23</v>
      </c>
      <c r="I525" t="s">
        <v>20</v>
      </c>
      <c r="J525">
        <v>2</v>
      </c>
      <c r="K525" t="s">
        <v>18</v>
      </c>
      <c r="L525" t="s">
        <v>35</v>
      </c>
      <c r="M525">
        <v>49</v>
      </c>
      <c r="N525" t="str">
        <f t="shared" si="8"/>
        <v>Middle-Aged</v>
      </c>
      <c r="O525" t="s">
        <v>17</v>
      </c>
    </row>
    <row r="526" spans="1:15">
      <c r="A526">
        <v>17471</v>
      </c>
      <c r="B526" t="s">
        <v>64</v>
      </c>
      <c r="C526" t="s">
        <v>47</v>
      </c>
      <c r="D526" s="1">
        <v>80000</v>
      </c>
      <c r="E526" t="str" cm="1">
        <f t="array" ref="E526">_xlfn.IFS(D526&lt;40000,"Low Income",D526&lt;=80000,"Moderate Income",D526&gt;80000,"High Income")</f>
        <v>Moderate Income</v>
      </c>
      <c r="F526">
        <v>4</v>
      </c>
      <c r="G526" t="s">
        <v>34</v>
      </c>
      <c r="H526" t="s">
        <v>31</v>
      </c>
      <c r="I526" t="s">
        <v>17</v>
      </c>
      <c r="J526">
        <v>2</v>
      </c>
      <c r="K526" t="s">
        <v>26</v>
      </c>
      <c r="L526" t="s">
        <v>35</v>
      </c>
      <c r="M526">
        <v>67</v>
      </c>
      <c r="N526" t="str">
        <f t="shared" si="8"/>
        <v>Seniors</v>
      </c>
      <c r="O526" t="s">
        <v>20</v>
      </c>
    </row>
    <row r="527" spans="1:15">
      <c r="A527">
        <v>16791</v>
      </c>
      <c r="B527" t="s">
        <v>64</v>
      </c>
      <c r="C527" t="s">
        <v>49</v>
      </c>
      <c r="D527" s="1">
        <v>60000</v>
      </c>
      <c r="E527" t="str" cm="1">
        <f t="array" ref="E527">_xlfn.IFS(D527&lt;40000,"Low Income",D527&lt;=80000,"Moderate Income",D527&gt;80000,"High Income")</f>
        <v>Moderate Income</v>
      </c>
      <c r="F527">
        <v>5</v>
      </c>
      <c r="G527" t="s">
        <v>15</v>
      </c>
      <c r="H527" t="s">
        <v>31</v>
      </c>
      <c r="I527" t="s">
        <v>17</v>
      </c>
      <c r="J527">
        <v>3</v>
      </c>
      <c r="K527" t="s">
        <v>61</v>
      </c>
      <c r="L527" t="s">
        <v>35</v>
      </c>
      <c r="M527">
        <v>59</v>
      </c>
      <c r="N527" t="str">
        <f t="shared" si="8"/>
        <v>Middle-Aged</v>
      </c>
      <c r="O527" t="s">
        <v>17</v>
      </c>
    </row>
    <row r="528" spans="1:15">
      <c r="A528">
        <v>15382</v>
      </c>
      <c r="B528" t="s">
        <v>63</v>
      </c>
      <c r="C528" t="s">
        <v>47</v>
      </c>
      <c r="D528" s="1">
        <v>110000</v>
      </c>
      <c r="E528" t="str" cm="1">
        <f t="array" ref="E528">_xlfn.IFS(D528&lt;40000,"Low Income",D528&lt;=80000,"Moderate Income",D528&gt;80000,"High Income")</f>
        <v>High Income</v>
      </c>
      <c r="F528">
        <v>1</v>
      </c>
      <c r="G528" t="s">
        <v>15</v>
      </c>
      <c r="H528" t="s">
        <v>31</v>
      </c>
      <c r="I528" t="s">
        <v>17</v>
      </c>
      <c r="J528">
        <v>2</v>
      </c>
      <c r="K528" t="s">
        <v>29</v>
      </c>
      <c r="L528" t="s">
        <v>35</v>
      </c>
      <c r="M528">
        <v>44</v>
      </c>
      <c r="N528" t="str">
        <f t="shared" si="8"/>
        <v>Middle-Aged</v>
      </c>
      <c r="O528" t="s">
        <v>20</v>
      </c>
    </row>
    <row r="529" spans="1:15">
      <c r="A529">
        <v>11641</v>
      </c>
      <c r="B529" t="s">
        <v>63</v>
      </c>
      <c r="C529" t="s">
        <v>49</v>
      </c>
      <c r="D529" s="1">
        <v>50000</v>
      </c>
      <c r="E529" t="str" cm="1">
        <f t="array" ref="E529">_xlfn.IFS(D529&lt;40000,"Low Income",D529&lt;=80000,"Moderate Income",D529&gt;80000,"High Income")</f>
        <v>Moderate Income</v>
      </c>
      <c r="F529">
        <v>1</v>
      </c>
      <c r="G529" t="s">
        <v>15</v>
      </c>
      <c r="H529" t="s">
        <v>16</v>
      </c>
      <c r="I529" t="s">
        <v>17</v>
      </c>
      <c r="J529">
        <v>0</v>
      </c>
      <c r="K529" t="s">
        <v>18</v>
      </c>
      <c r="L529" t="s">
        <v>35</v>
      </c>
      <c r="M529">
        <v>36</v>
      </c>
      <c r="N529" t="str">
        <f t="shared" si="8"/>
        <v>Middle-Aged</v>
      </c>
      <c r="O529" t="s">
        <v>20</v>
      </c>
    </row>
    <row r="530" spans="1:15">
      <c r="A530">
        <v>11935</v>
      </c>
      <c r="B530" t="s">
        <v>64</v>
      </c>
      <c r="C530" t="s">
        <v>47</v>
      </c>
      <c r="D530" s="1">
        <v>30000</v>
      </c>
      <c r="E530" t="str" cm="1">
        <f t="array" ref="E530">_xlfn.IFS(D530&lt;40000,"Low Income",D530&lt;=80000,"Moderate Income",D530&gt;80000,"High Income")</f>
        <v>Low Income</v>
      </c>
      <c r="F530">
        <v>0</v>
      </c>
      <c r="G530" t="s">
        <v>21</v>
      </c>
      <c r="H530" t="s">
        <v>16</v>
      </c>
      <c r="I530" t="s">
        <v>17</v>
      </c>
      <c r="J530">
        <v>1</v>
      </c>
      <c r="K530" t="s">
        <v>26</v>
      </c>
      <c r="L530" t="s">
        <v>35</v>
      </c>
      <c r="M530">
        <v>28</v>
      </c>
      <c r="N530" t="str">
        <f t="shared" si="8"/>
        <v>Young Adults</v>
      </c>
      <c r="O530" t="s">
        <v>20</v>
      </c>
    </row>
    <row r="531" spans="1:15">
      <c r="A531">
        <v>13233</v>
      </c>
      <c r="B531" t="s">
        <v>63</v>
      </c>
      <c r="C531" t="s">
        <v>49</v>
      </c>
      <c r="D531" s="1">
        <v>60000</v>
      </c>
      <c r="E531" t="str" cm="1">
        <f t="array" ref="E531">_xlfn.IFS(D531&lt;40000,"Low Income",D531&lt;=80000,"Moderate Income",D531&gt;80000,"High Income")</f>
        <v>Moderate Income</v>
      </c>
      <c r="F531">
        <v>2</v>
      </c>
      <c r="G531" t="s">
        <v>21</v>
      </c>
      <c r="H531" t="s">
        <v>23</v>
      </c>
      <c r="I531" t="s">
        <v>17</v>
      </c>
      <c r="J531">
        <v>1</v>
      </c>
      <c r="K531" t="s">
        <v>61</v>
      </c>
      <c r="L531" t="s">
        <v>35</v>
      </c>
      <c r="M531">
        <v>57</v>
      </c>
      <c r="N531" t="str">
        <f t="shared" si="8"/>
        <v>Middle-Aged</v>
      </c>
      <c r="O531" t="s">
        <v>17</v>
      </c>
    </row>
    <row r="532" spans="1:15">
      <c r="A532">
        <v>25909</v>
      </c>
      <c r="B532" t="s">
        <v>63</v>
      </c>
      <c r="C532" t="s">
        <v>49</v>
      </c>
      <c r="D532" s="1">
        <v>60000</v>
      </c>
      <c r="E532" t="str" cm="1">
        <f t="array" ref="E532">_xlfn.IFS(D532&lt;40000,"Low Income",D532&lt;=80000,"Moderate Income",D532&gt;80000,"High Income")</f>
        <v>Moderate Income</v>
      </c>
      <c r="F532">
        <v>0</v>
      </c>
      <c r="G532" t="s">
        <v>21</v>
      </c>
      <c r="H532" t="s">
        <v>16</v>
      </c>
      <c r="I532" t="s">
        <v>17</v>
      </c>
      <c r="J532">
        <v>1</v>
      </c>
      <c r="K532" t="s">
        <v>26</v>
      </c>
      <c r="L532" t="s">
        <v>35</v>
      </c>
      <c r="M532">
        <v>27</v>
      </c>
      <c r="N532" t="str">
        <f t="shared" si="8"/>
        <v>Young Adults</v>
      </c>
      <c r="O532" t="s">
        <v>17</v>
      </c>
    </row>
    <row r="533" spans="1:15">
      <c r="A533">
        <v>14092</v>
      </c>
      <c r="B533" t="s">
        <v>64</v>
      </c>
      <c r="C533" t="s">
        <v>49</v>
      </c>
      <c r="D533" s="1">
        <v>30000</v>
      </c>
      <c r="E533" t="str" cm="1">
        <f t="array" ref="E533">_xlfn.IFS(D533&lt;40000,"Low Income",D533&lt;=80000,"Moderate Income",D533&gt;80000,"High Income")</f>
        <v>Low Income</v>
      </c>
      <c r="F533">
        <v>0</v>
      </c>
      <c r="G533" t="s">
        <v>32</v>
      </c>
      <c r="H533" t="s">
        <v>22</v>
      </c>
      <c r="I533" t="s">
        <v>17</v>
      </c>
      <c r="J533">
        <v>2</v>
      </c>
      <c r="K533" t="s">
        <v>26</v>
      </c>
      <c r="L533" t="s">
        <v>35</v>
      </c>
      <c r="M533">
        <v>28</v>
      </c>
      <c r="N533" t="str">
        <f t="shared" si="8"/>
        <v>Young Adults</v>
      </c>
      <c r="O533" t="s">
        <v>20</v>
      </c>
    </row>
    <row r="534" spans="1:15">
      <c r="A534">
        <v>29143</v>
      </c>
      <c r="B534" t="s">
        <v>64</v>
      </c>
      <c r="C534" t="s">
        <v>47</v>
      </c>
      <c r="D534" s="1">
        <v>60000</v>
      </c>
      <c r="E534" t="str" cm="1">
        <f t="array" ref="E534">_xlfn.IFS(D534&lt;40000,"Low Income",D534&lt;=80000,"Moderate Income",D534&gt;80000,"High Income")</f>
        <v>Moderate Income</v>
      </c>
      <c r="F534">
        <v>1</v>
      </c>
      <c r="G534" t="s">
        <v>15</v>
      </c>
      <c r="H534" t="s">
        <v>23</v>
      </c>
      <c r="I534" t="s">
        <v>20</v>
      </c>
      <c r="J534">
        <v>1</v>
      </c>
      <c r="K534" t="s">
        <v>18</v>
      </c>
      <c r="L534" t="s">
        <v>35</v>
      </c>
      <c r="M534">
        <v>44</v>
      </c>
      <c r="N534" t="str">
        <f t="shared" si="8"/>
        <v>Middle-Aged</v>
      </c>
      <c r="O534" t="s">
        <v>17</v>
      </c>
    </row>
    <row r="535" spans="1:15">
      <c r="A535">
        <v>24941</v>
      </c>
      <c r="B535" t="s">
        <v>63</v>
      </c>
      <c r="C535" t="s">
        <v>49</v>
      </c>
      <c r="D535" s="1">
        <v>60000</v>
      </c>
      <c r="E535" t="str" cm="1">
        <f t="array" ref="E535">_xlfn.IFS(D535&lt;40000,"Low Income",D535&lt;=80000,"Moderate Income",D535&gt;80000,"High Income")</f>
        <v>Moderate Income</v>
      </c>
      <c r="F535">
        <v>3</v>
      </c>
      <c r="G535" t="s">
        <v>15</v>
      </c>
      <c r="H535" t="s">
        <v>31</v>
      </c>
      <c r="I535" t="s">
        <v>17</v>
      </c>
      <c r="J535">
        <v>2</v>
      </c>
      <c r="K535" t="s">
        <v>61</v>
      </c>
      <c r="L535" t="s">
        <v>35</v>
      </c>
      <c r="M535">
        <v>66</v>
      </c>
      <c r="N535" t="str">
        <f t="shared" si="8"/>
        <v>Seniors</v>
      </c>
      <c r="O535" t="s">
        <v>20</v>
      </c>
    </row>
    <row r="536" spans="1:15">
      <c r="A536">
        <v>24637</v>
      </c>
      <c r="B536" t="s">
        <v>63</v>
      </c>
      <c r="C536" t="s">
        <v>49</v>
      </c>
      <c r="D536" s="1">
        <v>40000</v>
      </c>
      <c r="E536" t="str" cm="1">
        <f t="array" ref="E536">_xlfn.IFS(D536&lt;40000,"Low Income",D536&lt;=80000,"Moderate Income",D536&gt;80000,"High Income")</f>
        <v>Moderate Income</v>
      </c>
      <c r="F536">
        <v>4</v>
      </c>
      <c r="G536" t="s">
        <v>30</v>
      </c>
      <c r="H536" t="s">
        <v>23</v>
      </c>
      <c r="I536" t="s">
        <v>17</v>
      </c>
      <c r="J536">
        <v>2</v>
      </c>
      <c r="K536" t="s">
        <v>61</v>
      </c>
      <c r="L536" t="s">
        <v>35</v>
      </c>
      <c r="M536">
        <v>64</v>
      </c>
      <c r="N536" t="str">
        <f t="shared" si="8"/>
        <v>Seniors</v>
      </c>
      <c r="O536" t="s">
        <v>20</v>
      </c>
    </row>
    <row r="537" spans="1:15">
      <c r="A537">
        <v>23893</v>
      </c>
      <c r="B537" t="s">
        <v>63</v>
      </c>
      <c r="C537" t="s">
        <v>49</v>
      </c>
      <c r="D537" s="1">
        <v>50000</v>
      </c>
      <c r="E537" t="str" cm="1">
        <f t="array" ref="E537">_xlfn.IFS(D537&lt;40000,"Low Income",D537&lt;=80000,"Moderate Income",D537&gt;80000,"High Income")</f>
        <v>Moderate Income</v>
      </c>
      <c r="F537">
        <v>3</v>
      </c>
      <c r="G537" t="s">
        <v>15</v>
      </c>
      <c r="H537" t="s">
        <v>16</v>
      </c>
      <c r="I537" t="s">
        <v>17</v>
      </c>
      <c r="J537">
        <v>3</v>
      </c>
      <c r="K537" t="s">
        <v>61</v>
      </c>
      <c r="L537" t="s">
        <v>35</v>
      </c>
      <c r="M537">
        <v>41</v>
      </c>
      <c r="N537" t="str">
        <f t="shared" si="8"/>
        <v>Middle-Aged</v>
      </c>
      <c r="O537" t="s">
        <v>20</v>
      </c>
    </row>
    <row r="538" spans="1:15">
      <c r="A538">
        <v>13907</v>
      </c>
      <c r="B538" t="s">
        <v>64</v>
      </c>
      <c r="C538" t="s">
        <v>47</v>
      </c>
      <c r="D538" s="1">
        <v>80000</v>
      </c>
      <c r="E538" t="str" cm="1">
        <f t="array" ref="E538">_xlfn.IFS(D538&lt;40000,"Low Income",D538&lt;=80000,"Moderate Income",D538&gt;80000,"High Income")</f>
        <v>Moderate Income</v>
      </c>
      <c r="F538">
        <v>3</v>
      </c>
      <c r="G538" t="s">
        <v>15</v>
      </c>
      <c r="H538" t="s">
        <v>16</v>
      </c>
      <c r="I538" t="s">
        <v>17</v>
      </c>
      <c r="J538">
        <v>1</v>
      </c>
      <c r="K538" t="s">
        <v>18</v>
      </c>
      <c r="L538" t="s">
        <v>35</v>
      </c>
      <c r="M538">
        <v>41</v>
      </c>
      <c r="N538" t="str">
        <f t="shared" si="8"/>
        <v>Middle-Aged</v>
      </c>
      <c r="O538" t="s">
        <v>17</v>
      </c>
    </row>
    <row r="539" spans="1:15">
      <c r="A539">
        <v>14900</v>
      </c>
      <c r="B539" t="s">
        <v>63</v>
      </c>
      <c r="C539" t="s">
        <v>47</v>
      </c>
      <c r="D539" s="1">
        <v>40000</v>
      </c>
      <c r="E539" t="str" cm="1">
        <f t="array" ref="E539">_xlfn.IFS(D539&lt;40000,"Low Income",D539&lt;=80000,"Moderate Income",D539&gt;80000,"High Income")</f>
        <v>Moderate Income</v>
      </c>
      <c r="F539">
        <v>1</v>
      </c>
      <c r="G539" t="s">
        <v>21</v>
      </c>
      <c r="H539" t="s">
        <v>22</v>
      </c>
      <c r="I539" t="s">
        <v>17</v>
      </c>
      <c r="J539">
        <v>1</v>
      </c>
      <c r="K539" t="s">
        <v>29</v>
      </c>
      <c r="L539" t="s">
        <v>35</v>
      </c>
      <c r="M539">
        <v>49</v>
      </c>
      <c r="N539" t="str">
        <f t="shared" si="8"/>
        <v>Middle-Aged</v>
      </c>
      <c r="O539" t="s">
        <v>17</v>
      </c>
    </row>
    <row r="540" spans="1:15">
      <c r="A540">
        <v>11262</v>
      </c>
      <c r="B540" t="s">
        <v>63</v>
      </c>
      <c r="C540" t="s">
        <v>47</v>
      </c>
      <c r="D540" s="1">
        <v>80000</v>
      </c>
      <c r="E540" t="str" cm="1">
        <f t="array" ref="E540">_xlfn.IFS(D540&lt;40000,"Low Income",D540&lt;=80000,"Moderate Income",D540&gt;80000,"High Income")</f>
        <v>Moderate Income</v>
      </c>
      <c r="F540">
        <v>4</v>
      </c>
      <c r="G540" t="s">
        <v>15</v>
      </c>
      <c r="H540" t="s">
        <v>31</v>
      </c>
      <c r="I540" t="s">
        <v>17</v>
      </c>
      <c r="J540">
        <v>0</v>
      </c>
      <c r="K540" t="s">
        <v>18</v>
      </c>
      <c r="L540" t="s">
        <v>35</v>
      </c>
      <c r="M540">
        <v>42</v>
      </c>
      <c r="N540" t="str">
        <f t="shared" si="8"/>
        <v>Middle-Aged</v>
      </c>
      <c r="O540" t="s">
        <v>20</v>
      </c>
    </row>
    <row r="541" spans="1:15">
      <c r="A541">
        <v>22294</v>
      </c>
      <c r="B541" t="s">
        <v>64</v>
      </c>
      <c r="C541" t="s">
        <v>47</v>
      </c>
      <c r="D541" s="1">
        <v>70000</v>
      </c>
      <c r="E541" t="str" cm="1">
        <f t="array" ref="E541">_xlfn.IFS(D541&lt;40000,"Low Income",D541&lt;=80000,"Moderate Income",D541&gt;80000,"High Income")</f>
        <v>Moderate Income</v>
      </c>
      <c r="F541">
        <v>0</v>
      </c>
      <c r="G541" t="s">
        <v>15</v>
      </c>
      <c r="H541" t="s">
        <v>23</v>
      </c>
      <c r="I541" t="s">
        <v>20</v>
      </c>
      <c r="J541">
        <v>1</v>
      </c>
      <c r="K541" t="s">
        <v>24</v>
      </c>
      <c r="L541" t="s">
        <v>35</v>
      </c>
      <c r="M541">
        <v>37</v>
      </c>
      <c r="N541" t="str">
        <f t="shared" si="8"/>
        <v>Middle-Aged</v>
      </c>
      <c r="O541" t="s">
        <v>17</v>
      </c>
    </row>
    <row r="542" spans="1:15">
      <c r="A542">
        <v>12195</v>
      </c>
      <c r="B542" t="s">
        <v>64</v>
      </c>
      <c r="C542" t="s">
        <v>47</v>
      </c>
      <c r="D542" s="1">
        <v>70000</v>
      </c>
      <c r="E542" t="str" cm="1">
        <f t="array" ref="E542">_xlfn.IFS(D542&lt;40000,"Low Income",D542&lt;=80000,"Moderate Income",D542&gt;80000,"High Income")</f>
        <v>Moderate Income</v>
      </c>
      <c r="F542">
        <v>3</v>
      </c>
      <c r="G542" t="s">
        <v>34</v>
      </c>
      <c r="H542" t="s">
        <v>31</v>
      </c>
      <c r="I542" t="s">
        <v>17</v>
      </c>
      <c r="J542">
        <v>2</v>
      </c>
      <c r="K542" t="s">
        <v>29</v>
      </c>
      <c r="L542" t="s">
        <v>35</v>
      </c>
      <c r="M542">
        <v>52</v>
      </c>
      <c r="N542" t="str">
        <f t="shared" si="8"/>
        <v>Middle-Aged</v>
      </c>
      <c r="O542" t="s">
        <v>20</v>
      </c>
    </row>
    <row r="543" spans="1:15">
      <c r="A543">
        <v>25375</v>
      </c>
      <c r="B543" t="s">
        <v>63</v>
      </c>
      <c r="C543" t="s">
        <v>49</v>
      </c>
      <c r="D543" s="1">
        <v>50000</v>
      </c>
      <c r="E543" t="str" cm="1">
        <f t="array" ref="E543">_xlfn.IFS(D543&lt;40000,"Low Income",D543&lt;=80000,"Moderate Income",D543&gt;80000,"High Income")</f>
        <v>Moderate Income</v>
      </c>
      <c r="F543">
        <v>1</v>
      </c>
      <c r="G543" t="s">
        <v>34</v>
      </c>
      <c r="H543" t="s">
        <v>16</v>
      </c>
      <c r="I543" t="s">
        <v>17</v>
      </c>
      <c r="J543">
        <v>0</v>
      </c>
      <c r="K543" t="s">
        <v>29</v>
      </c>
      <c r="L543" t="s">
        <v>35</v>
      </c>
      <c r="M543">
        <v>34</v>
      </c>
      <c r="N543" t="str">
        <f t="shared" si="8"/>
        <v>Middle-Aged</v>
      </c>
      <c r="O543" t="s">
        <v>20</v>
      </c>
    </row>
    <row r="544" spans="1:15">
      <c r="A544">
        <v>11143</v>
      </c>
      <c r="B544" t="s">
        <v>63</v>
      </c>
      <c r="C544" t="s">
        <v>49</v>
      </c>
      <c r="D544" s="1">
        <v>40000</v>
      </c>
      <c r="E544" t="str" cm="1">
        <f t="array" ref="E544">_xlfn.IFS(D544&lt;40000,"Low Income",D544&lt;=80000,"Moderate Income",D544&gt;80000,"High Income")</f>
        <v>Moderate Income</v>
      </c>
      <c r="F544">
        <v>0</v>
      </c>
      <c r="G544" t="s">
        <v>30</v>
      </c>
      <c r="H544" t="s">
        <v>16</v>
      </c>
      <c r="I544" t="s">
        <v>17</v>
      </c>
      <c r="J544">
        <v>2</v>
      </c>
      <c r="K544" t="s">
        <v>26</v>
      </c>
      <c r="L544" t="s">
        <v>35</v>
      </c>
      <c r="M544">
        <v>29</v>
      </c>
      <c r="N544" t="str">
        <f t="shared" si="8"/>
        <v>Young Adults</v>
      </c>
      <c r="O544" t="s">
        <v>20</v>
      </c>
    </row>
    <row r="545" spans="1:15">
      <c r="A545">
        <v>25898</v>
      </c>
      <c r="B545" t="s">
        <v>63</v>
      </c>
      <c r="C545" t="s">
        <v>47</v>
      </c>
      <c r="D545" s="1">
        <v>70000</v>
      </c>
      <c r="E545" t="str" cm="1">
        <f t="array" ref="E545">_xlfn.IFS(D545&lt;40000,"Low Income",D545&lt;=80000,"Moderate Income",D545&gt;80000,"High Income")</f>
        <v>Moderate Income</v>
      </c>
      <c r="F545">
        <v>2</v>
      </c>
      <c r="G545" t="s">
        <v>30</v>
      </c>
      <c r="H545" t="s">
        <v>23</v>
      </c>
      <c r="I545" t="s">
        <v>17</v>
      </c>
      <c r="J545">
        <v>2</v>
      </c>
      <c r="K545" t="s">
        <v>24</v>
      </c>
      <c r="L545" t="s">
        <v>35</v>
      </c>
      <c r="M545">
        <v>53</v>
      </c>
      <c r="N545" t="str">
        <f t="shared" si="8"/>
        <v>Middle-Aged</v>
      </c>
      <c r="O545" t="s">
        <v>20</v>
      </c>
    </row>
    <row r="546" spans="1:15">
      <c r="A546">
        <v>24397</v>
      </c>
      <c r="B546" t="s">
        <v>64</v>
      </c>
      <c r="C546" t="s">
        <v>49</v>
      </c>
      <c r="D546" s="1">
        <v>120000</v>
      </c>
      <c r="E546" t="str" cm="1">
        <f t="array" ref="E546">_xlfn.IFS(D546&lt;40000,"Low Income",D546&lt;=80000,"Moderate Income",D546&gt;80000,"High Income")</f>
        <v>High Income</v>
      </c>
      <c r="F546">
        <v>2</v>
      </c>
      <c r="G546" t="s">
        <v>15</v>
      </c>
      <c r="H546" t="s">
        <v>31</v>
      </c>
      <c r="I546" t="s">
        <v>20</v>
      </c>
      <c r="J546">
        <v>4</v>
      </c>
      <c r="K546" t="s">
        <v>29</v>
      </c>
      <c r="L546" t="s">
        <v>35</v>
      </c>
      <c r="M546">
        <v>40</v>
      </c>
      <c r="N546" t="str">
        <f t="shared" si="8"/>
        <v>Middle-Aged</v>
      </c>
      <c r="O546" t="s">
        <v>20</v>
      </c>
    </row>
    <row r="547" spans="1:15">
      <c r="A547">
        <v>19758</v>
      </c>
      <c r="B547" t="s">
        <v>64</v>
      </c>
      <c r="C547" t="s">
        <v>49</v>
      </c>
      <c r="D547" s="1">
        <v>60000</v>
      </c>
      <c r="E547" t="str" cm="1">
        <f t="array" ref="E547">_xlfn.IFS(D547&lt;40000,"Low Income",D547&lt;=80000,"Moderate Income",D547&gt;80000,"High Income")</f>
        <v>Moderate Income</v>
      </c>
      <c r="F547">
        <v>0</v>
      </c>
      <c r="G547" t="s">
        <v>21</v>
      </c>
      <c r="H547" t="s">
        <v>16</v>
      </c>
      <c r="I547" t="s">
        <v>20</v>
      </c>
      <c r="J547">
        <v>2</v>
      </c>
      <c r="K547" t="s">
        <v>29</v>
      </c>
      <c r="L547" t="s">
        <v>35</v>
      </c>
      <c r="M547">
        <v>29</v>
      </c>
      <c r="N547" t="str">
        <f t="shared" si="8"/>
        <v>Young Adults</v>
      </c>
      <c r="O547" t="s">
        <v>20</v>
      </c>
    </row>
    <row r="548" spans="1:15">
      <c r="A548">
        <v>15529</v>
      </c>
      <c r="B548" t="s">
        <v>63</v>
      </c>
      <c r="C548" t="s">
        <v>49</v>
      </c>
      <c r="D548" s="1">
        <v>60000</v>
      </c>
      <c r="E548" t="str" cm="1">
        <f t="array" ref="E548">_xlfn.IFS(D548&lt;40000,"Low Income",D548&lt;=80000,"Moderate Income",D548&gt;80000,"High Income")</f>
        <v>Moderate Income</v>
      </c>
      <c r="F548">
        <v>4</v>
      </c>
      <c r="G548" t="s">
        <v>15</v>
      </c>
      <c r="H548" t="s">
        <v>23</v>
      </c>
      <c r="I548" t="s">
        <v>17</v>
      </c>
      <c r="J548">
        <v>2</v>
      </c>
      <c r="K548" t="s">
        <v>24</v>
      </c>
      <c r="L548" t="s">
        <v>35</v>
      </c>
      <c r="M548">
        <v>43</v>
      </c>
      <c r="N548" t="str">
        <f t="shared" si="8"/>
        <v>Middle-Aged</v>
      </c>
      <c r="O548" t="s">
        <v>17</v>
      </c>
    </row>
    <row r="549" spans="1:15">
      <c r="A549">
        <v>19884</v>
      </c>
      <c r="B549" t="s">
        <v>63</v>
      </c>
      <c r="C549" t="s">
        <v>49</v>
      </c>
      <c r="D549" s="1">
        <v>60000</v>
      </c>
      <c r="E549" t="str" cm="1">
        <f t="array" ref="E549">_xlfn.IFS(D549&lt;40000,"Low Income",D549&lt;=80000,"Moderate Income",D549&gt;80000,"High Income")</f>
        <v>Moderate Income</v>
      </c>
      <c r="F549">
        <v>2</v>
      </c>
      <c r="G549" t="s">
        <v>30</v>
      </c>
      <c r="H549" t="s">
        <v>23</v>
      </c>
      <c r="I549" t="s">
        <v>17</v>
      </c>
      <c r="J549">
        <v>2</v>
      </c>
      <c r="K549" t="s">
        <v>24</v>
      </c>
      <c r="L549" t="s">
        <v>35</v>
      </c>
      <c r="M549">
        <v>55</v>
      </c>
      <c r="N549" t="str">
        <f t="shared" si="8"/>
        <v>Middle-Aged</v>
      </c>
      <c r="O549" t="s">
        <v>17</v>
      </c>
    </row>
    <row r="550" spans="1:15">
      <c r="A550">
        <v>18674</v>
      </c>
      <c r="B550" t="s">
        <v>64</v>
      </c>
      <c r="C550" t="s">
        <v>47</v>
      </c>
      <c r="D550" s="1">
        <v>80000</v>
      </c>
      <c r="E550" t="str" cm="1">
        <f t="array" ref="E550">_xlfn.IFS(D550&lt;40000,"Low Income",D550&lt;=80000,"Moderate Income",D550&gt;80000,"High Income")</f>
        <v>Moderate Income</v>
      </c>
      <c r="F550">
        <v>4</v>
      </c>
      <c r="G550" t="s">
        <v>34</v>
      </c>
      <c r="H550" t="s">
        <v>16</v>
      </c>
      <c r="I550" t="s">
        <v>20</v>
      </c>
      <c r="J550">
        <v>0</v>
      </c>
      <c r="K550" t="s">
        <v>18</v>
      </c>
      <c r="L550" t="s">
        <v>35</v>
      </c>
      <c r="M550">
        <v>48</v>
      </c>
      <c r="N550" t="str">
        <f t="shared" si="8"/>
        <v>Middle-Aged</v>
      </c>
      <c r="O550" t="s">
        <v>20</v>
      </c>
    </row>
    <row r="551" spans="1:15">
      <c r="A551">
        <v>13453</v>
      </c>
      <c r="B551" t="s">
        <v>63</v>
      </c>
      <c r="C551" t="s">
        <v>47</v>
      </c>
      <c r="D551" s="1">
        <v>130000</v>
      </c>
      <c r="E551" t="str" cm="1">
        <f t="array" ref="E551">_xlfn.IFS(D551&lt;40000,"Low Income",D551&lt;=80000,"Moderate Income",D551&gt;80000,"High Income")</f>
        <v>High Income</v>
      </c>
      <c r="F551">
        <v>3</v>
      </c>
      <c r="G551" t="s">
        <v>15</v>
      </c>
      <c r="H551" t="s">
        <v>31</v>
      </c>
      <c r="I551" t="s">
        <v>17</v>
      </c>
      <c r="J551">
        <v>3</v>
      </c>
      <c r="K551" t="s">
        <v>18</v>
      </c>
      <c r="L551" t="s">
        <v>35</v>
      </c>
      <c r="M551">
        <v>45</v>
      </c>
      <c r="N551" t="str">
        <f t="shared" si="8"/>
        <v>Middle-Aged</v>
      </c>
      <c r="O551" t="s">
        <v>17</v>
      </c>
    </row>
    <row r="552" spans="1:15">
      <c r="A552">
        <v>14063</v>
      </c>
      <c r="B552" t="s">
        <v>64</v>
      </c>
      <c r="C552" t="s">
        <v>47</v>
      </c>
      <c r="D552" s="1">
        <v>70000</v>
      </c>
      <c r="E552" t="str" cm="1">
        <f t="array" ref="E552">_xlfn.IFS(D552&lt;40000,"Low Income",D552&lt;=80000,"Moderate Income",D552&gt;80000,"High Income")</f>
        <v>Moderate Income</v>
      </c>
      <c r="F552">
        <v>0</v>
      </c>
      <c r="G552" t="s">
        <v>15</v>
      </c>
      <c r="H552" t="s">
        <v>23</v>
      </c>
      <c r="I552" t="s">
        <v>20</v>
      </c>
      <c r="J552">
        <v>1</v>
      </c>
      <c r="K552" t="s">
        <v>18</v>
      </c>
      <c r="L552" t="s">
        <v>27</v>
      </c>
      <c r="M552">
        <v>42</v>
      </c>
      <c r="N552" t="str">
        <f t="shared" si="8"/>
        <v>Middle-Aged</v>
      </c>
      <c r="O552" t="s">
        <v>17</v>
      </c>
    </row>
    <row r="553" spans="1:15">
      <c r="A553">
        <v>27393</v>
      </c>
      <c r="B553" t="s">
        <v>63</v>
      </c>
      <c r="C553" t="s">
        <v>47</v>
      </c>
      <c r="D553" s="1">
        <v>50000</v>
      </c>
      <c r="E553" t="str" cm="1">
        <f t="array" ref="E553">_xlfn.IFS(D553&lt;40000,"Low Income",D553&lt;=80000,"Moderate Income",D553&gt;80000,"High Income")</f>
        <v>Moderate Income</v>
      </c>
      <c r="F553">
        <v>4</v>
      </c>
      <c r="G553" t="s">
        <v>15</v>
      </c>
      <c r="H553" t="s">
        <v>31</v>
      </c>
      <c r="I553" t="s">
        <v>17</v>
      </c>
      <c r="J553">
        <v>2</v>
      </c>
      <c r="K553" t="s">
        <v>61</v>
      </c>
      <c r="L553" t="s">
        <v>35</v>
      </c>
      <c r="M553">
        <v>63</v>
      </c>
      <c r="N553" t="str">
        <f t="shared" si="8"/>
        <v>Seniors</v>
      </c>
      <c r="O553" t="s">
        <v>20</v>
      </c>
    </row>
    <row r="554" spans="1:15">
      <c r="A554">
        <v>14417</v>
      </c>
      <c r="B554" t="s">
        <v>64</v>
      </c>
      <c r="C554" t="s">
        <v>49</v>
      </c>
      <c r="D554" s="1">
        <v>60000</v>
      </c>
      <c r="E554" t="str" cm="1">
        <f t="array" ref="E554">_xlfn.IFS(D554&lt;40000,"Low Income",D554&lt;=80000,"Moderate Income",D554&gt;80000,"High Income")</f>
        <v>Moderate Income</v>
      </c>
      <c r="F554">
        <v>3</v>
      </c>
      <c r="G554" t="s">
        <v>30</v>
      </c>
      <c r="H554" t="s">
        <v>23</v>
      </c>
      <c r="I554" t="s">
        <v>17</v>
      </c>
      <c r="J554">
        <v>2</v>
      </c>
      <c r="K554" t="s">
        <v>61</v>
      </c>
      <c r="L554" t="s">
        <v>35</v>
      </c>
      <c r="M554">
        <v>54</v>
      </c>
      <c r="N554" t="str">
        <f t="shared" si="8"/>
        <v>Middle-Aged</v>
      </c>
      <c r="O554" t="s">
        <v>17</v>
      </c>
    </row>
    <row r="555" spans="1:15">
      <c r="A555">
        <v>17533</v>
      </c>
      <c r="B555" t="s">
        <v>63</v>
      </c>
      <c r="C555" t="s">
        <v>49</v>
      </c>
      <c r="D555" s="1">
        <v>40000</v>
      </c>
      <c r="E555" t="str" cm="1">
        <f t="array" ref="E555">_xlfn.IFS(D555&lt;40000,"Low Income",D555&lt;=80000,"Moderate Income",D555&gt;80000,"High Income")</f>
        <v>Moderate Income</v>
      </c>
      <c r="F555">
        <v>3</v>
      </c>
      <c r="G555" t="s">
        <v>21</v>
      </c>
      <c r="H555" t="s">
        <v>23</v>
      </c>
      <c r="I555" t="s">
        <v>20</v>
      </c>
      <c r="J555">
        <v>2</v>
      </c>
      <c r="K555" t="s">
        <v>26</v>
      </c>
      <c r="L555" t="s">
        <v>35</v>
      </c>
      <c r="M555">
        <v>73</v>
      </c>
      <c r="N555" t="str">
        <f t="shared" si="8"/>
        <v>Seniors</v>
      </c>
      <c r="O555" t="s">
        <v>17</v>
      </c>
    </row>
    <row r="556" spans="1:15">
      <c r="A556">
        <v>18580</v>
      </c>
      <c r="B556" t="s">
        <v>63</v>
      </c>
      <c r="C556" t="s">
        <v>47</v>
      </c>
      <c r="D556" s="1">
        <v>60000</v>
      </c>
      <c r="E556" t="str" cm="1">
        <f t="array" ref="E556">_xlfn.IFS(D556&lt;40000,"Low Income",D556&lt;=80000,"Moderate Income",D556&gt;80000,"High Income")</f>
        <v>Moderate Income</v>
      </c>
      <c r="F556">
        <v>2</v>
      </c>
      <c r="G556" t="s">
        <v>34</v>
      </c>
      <c r="H556" t="s">
        <v>23</v>
      </c>
      <c r="I556" t="s">
        <v>17</v>
      </c>
      <c r="J556">
        <v>0</v>
      </c>
      <c r="K556" t="s">
        <v>24</v>
      </c>
      <c r="L556" t="s">
        <v>35</v>
      </c>
      <c r="M556">
        <v>40</v>
      </c>
      <c r="N556" t="str">
        <f t="shared" si="8"/>
        <v>Middle-Aged</v>
      </c>
      <c r="O556" t="s">
        <v>17</v>
      </c>
    </row>
    <row r="557" spans="1:15">
      <c r="A557">
        <v>17025</v>
      </c>
      <c r="B557" t="s">
        <v>64</v>
      </c>
      <c r="C557" t="s">
        <v>49</v>
      </c>
      <c r="D557" s="1">
        <v>50000</v>
      </c>
      <c r="E557" t="str" cm="1">
        <f t="array" ref="E557">_xlfn.IFS(D557&lt;40000,"Low Income",D557&lt;=80000,"Moderate Income",D557&gt;80000,"High Income")</f>
        <v>Moderate Income</v>
      </c>
      <c r="F557">
        <v>0</v>
      </c>
      <c r="G557" t="s">
        <v>21</v>
      </c>
      <c r="H557" t="s">
        <v>16</v>
      </c>
      <c r="I557" t="s">
        <v>20</v>
      </c>
      <c r="J557">
        <v>1</v>
      </c>
      <c r="K557" t="s">
        <v>24</v>
      </c>
      <c r="L557" t="s">
        <v>35</v>
      </c>
      <c r="M557">
        <v>39</v>
      </c>
      <c r="N557" t="str">
        <f t="shared" si="8"/>
        <v>Middle-Aged</v>
      </c>
      <c r="O557" t="s">
        <v>17</v>
      </c>
    </row>
    <row r="558" spans="1:15">
      <c r="A558">
        <v>25293</v>
      </c>
      <c r="B558" t="s">
        <v>63</v>
      </c>
      <c r="C558" t="s">
        <v>49</v>
      </c>
      <c r="D558" s="1">
        <v>80000</v>
      </c>
      <c r="E558" t="str" cm="1">
        <f t="array" ref="E558">_xlfn.IFS(D558&lt;40000,"Low Income",D558&lt;=80000,"Moderate Income",D558&gt;80000,"High Income")</f>
        <v>Moderate Income</v>
      </c>
      <c r="F558">
        <v>4</v>
      </c>
      <c r="G558" t="s">
        <v>15</v>
      </c>
      <c r="H558" t="s">
        <v>31</v>
      </c>
      <c r="I558" t="s">
        <v>17</v>
      </c>
      <c r="J558">
        <v>0</v>
      </c>
      <c r="K558" t="s">
        <v>29</v>
      </c>
      <c r="L558" t="s">
        <v>35</v>
      </c>
      <c r="M558">
        <v>42</v>
      </c>
      <c r="N558" t="str">
        <f t="shared" si="8"/>
        <v>Middle-Aged</v>
      </c>
      <c r="O558" t="s">
        <v>20</v>
      </c>
    </row>
    <row r="559" spans="1:15">
      <c r="A559">
        <v>24725</v>
      </c>
      <c r="B559" t="s">
        <v>63</v>
      </c>
      <c r="C559" t="s">
        <v>47</v>
      </c>
      <c r="D559" s="1">
        <v>40000</v>
      </c>
      <c r="E559" t="str" cm="1">
        <f t="array" ref="E559">_xlfn.IFS(D559&lt;40000,"Low Income",D559&lt;=80000,"Moderate Income",D559&gt;80000,"High Income")</f>
        <v>Moderate Income</v>
      </c>
      <c r="F559">
        <v>3</v>
      </c>
      <c r="G559" t="s">
        <v>21</v>
      </c>
      <c r="H559" t="s">
        <v>22</v>
      </c>
      <c r="I559" t="s">
        <v>17</v>
      </c>
      <c r="J559">
        <v>0</v>
      </c>
      <c r="K559" t="s">
        <v>29</v>
      </c>
      <c r="L559" t="s">
        <v>35</v>
      </c>
      <c r="M559">
        <v>31</v>
      </c>
      <c r="N559" t="str">
        <f t="shared" si="8"/>
        <v>Middle-Aged</v>
      </c>
      <c r="O559" t="s">
        <v>20</v>
      </c>
    </row>
    <row r="560" spans="1:15">
      <c r="A560">
        <v>23200</v>
      </c>
      <c r="B560" t="s">
        <v>63</v>
      </c>
      <c r="C560" t="s">
        <v>47</v>
      </c>
      <c r="D560" s="1">
        <v>50000</v>
      </c>
      <c r="E560" t="str" cm="1">
        <f t="array" ref="E560">_xlfn.IFS(D560&lt;40000,"Low Income",D560&lt;=80000,"Moderate Income",D560&gt;80000,"High Income")</f>
        <v>Moderate Income</v>
      </c>
      <c r="F560">
        <v>3</v>
      </c>
      <c r="G560" t="s">
        <v>15</v>
      </c>
      <c r="H560" t="s">
        <v>16</v>
      </c>
      <c r="I560" t="s">
        <v>17</v>
      </c>
      <c r="J560">
        <v>2</v>
      </c>
      <c r="K560" t="s">
        <v>18</v>
      </c>
      <c r="L560" t="s">
        <v>35</v>
      </c>
      <c r="M560">
        <v>41</v>
      </c>
      <c r="N560" t="str">
        <f t="shared" si="8"/>
        <v>Middle-Aged</v>
      </c>
      <c r="O560" t="s">
        <v>20</v>
      </c>
    </row>
    <row r="561" spans="1:15">
      <c r="A561">
        <v>15895</v>
      </c>
      <c r="B561" t="s">
        <v>64</v>
      </c>
      <c r="C561" t="s">
        <v>47</v>
      </c>
      <c r="D561" s="1">
        <v>60000</v>
      </c>
      <c r="E561" t="str" cm="1">
        <f t="array" ref="E561">_xlfn.IFS(D561&lt;40000,"Low Income",D561&lt;=80000,"Moderate Income",D561&gt;80000,"High Income")</f>
        <v>Moderate Income</v>
      </c>
      <c r="F561">
        <v>2</v>
      </c>
      <c r="G561" t="s">
        <v>15</v>
      </c>
      <c r="H561" t="s">
        <v>31</v>
      </c>
      <c r="I561" t="s">
        <v>17</v>
      </c>
      <c r="J561">
        <v>0</v>
      </c>
      <c r="K561" t="s">
        <v>61</v>
      </c>
      <c r="L561" t="s">
        <v>35</v>
      </c>
      <c r="M561">
        <v>58</v>
      </c>
      <c r="N561" t="str">
        <f t="shared" si="8"/>
        <v>Middle-Aged</v>
      </c>
      <c r="O561" t="s">
        <v>20</v>
      </c>
    </row>
    <row r="562" spans="1:15">
      <c r="A562">
        <v>18577</v>
      </c>
      <c r="B562" t="s">
        <v>63</v>
      </c>
      <c r="C562" t="s">
        <v>47</v>
      </c>
      <c r="D562" s="1">
        <v>60000</v>
      </c>
      <c r="E562" t="str" cm="1">
        <f t="array" ref="E562">_xlfn.IFS(D562&lt;40000,"Low Income",D562&lt;=80000,"Moderate Income",D562&gt;80000,"High Income")</f>
        <v>Moderate Income</v>
      </c>
      <c r="F562">
        <v>0</v>
      </c>
      <c r="G562" t="s">
        <v>34</v>
      </c>
      <c r="H562" t="s">
        <v>23</v>
      </c>
      <c r="I562" t="s">
        <v>17</v>
      </c>
      <c r="J562">
        <v>0</v>
      </c>
      <c r="K562" t="s">
        <v>18</v>
      </c>
      <c r="L562" t="s">
        <v>35</v>
      </c>
      <c r="M562">
        <v>40</v>
      </c>
      <c r="N562" t="str">
        <f t="shared" si="8"/>
        <v>Middle-Aged</v>
      </c>
      <c r="O562" t="s">
        <v>20</v>
      </c>
    </row>
    <row r="563" spans="1:15">
      <c r="A563">
        <v>27218</v>
      </c>
      <c r="B563" t="s">
        <v>63</v>
      </c>
      <c r="C563" t="s">
        <v>47</v>
      </c>
      <c r="D563" s="1">
        <v>20000</v>
      </c>
      <c r="E563" t="str" cm="1">
        <f t="array" ref="E563">_xlfn.IFS(D563&lt;40000,"Low Income",D563&lt;=80000,"Moderate Income",D563&gt;80000,"High Income")</f>
        <v>Low Income</v>
      </c>
      <c r="F563">
        <v>2</v>
      </c>
      <c r="G563" t="s">
        <v>32</v>
      </c>
      <c r="H563" t="s">
        <v>22</v>
      </c>
      <c r="I563" t="s">
        <v>20</v>
      </c>
      <c r="J563">
        <v>0</v>
      </c>
      <c r="K563" t="s">
        <v>18</v>
      </c>
      <c r="L563" t="s">
        <v>35</v>
      </c>
      <c r="M563">
        <v>48</v>
      </c>
      <c r="N563" t="str">
        <f t="shared" si="8"/>
        <v>Middle-Aged</v>
      </c>
      <c r="O563" t="s">
        <v>20</v>
      </c>
    </row>
    <row r="564" spans="1:15">
      <c r="A564">
        <v>18560</v>
      </c>
      <c r="B564" t="s">
        <v>63</v>
      </c>
      <c r="C564" t="s">
        <v>47</v>
      </c>
      <c r="D564" s="1">
        <v>70000</v>
      </c>
      <c r="E564" t="str" cm="1">
        <f t="array" ref="E564">_xlfn.IFS(D564&lt;40000,"Low Income",D564&lt;=80000,"Moderate Income",D564&gt;80000,"High Income")</f>
        <v>Moderate Income</v>
      </c>
      <c r="F564">
        <v>2</v>
      </c>
      <c r="G564" t="s">
        <v>34</v>
      </c>
      <c r="H564" t="s">
        <v>23</v>
      </c>
      <c r="I564" t="s">
        <v>17</v>
      </c>
      <c r="J564">
        <v>0</v>
      </c>
      <c r="K564" t="s">
        <v>24</v>
      </c>
      <c r="L564" t="s">
        <v>35</v>
      </c>
      <c r="M564">
        <v>34</v>
      </c>
      <c r="N564" t="str">
        <f t="shared" si="8"/>
        <v>Middle-Aged</v>
      </c>
      <c r="O564" t="s">
        <v>17</v>
      </c>
    </row>
    <row r="565" spans="1:15">
      <c r="A565">
        <v>25006</v>
      </c>
      <c r="B565" t="s">
        <v>64</v>
      </c>
      <c r="C565" t="s">
        <v>47</v>
      </c>
      <c r="D565" s="1">
        <v>30000</v>
      </c>
      <c r="E565" t="str" cm="1">
        <f t="array" ref="E565">_xlfn.IFS(D565&lt;40000,"Low Income",D565&lt;=80000,"Moderate Income",D565&gt;80000,"High Income")</f>
        <v>Low Income</v>
      </c>
      <c r="F565">
        <v>0</v>
      </c>
      <c r="G565" t="s">
        <v>21</v>
      </c>
      <c r="H565" t="s">
        <v>16</v>
      </c>
      <c r="I565" t="s">
        <v>17</v>
      </c>
      <c r="J565">
        <v>1</v>
      </c>
      <c r="K565" t="s">
        <v>26</v>
      </c>
      <c r="L565" t="s">
        <v>35</v>
      </c>
      <c r="M565">
        <v>28</v>
      </c>
      <c r="N565" t="str">
        <f t="shared" si="8"/>
        <v>Young Adults</v>
      </c>
      <c r="O565" t="s">
        <v>20</v>
      </c>
    </row>
    <row r="566" spans="1:15">
      <c r="A566">
        <v>17369</v>
      </c>
      <c r="B566" t="s">
        <v>64</v>
      </c>
      <c r="C566" t="s">
        <v>49</v>
      </c>
      <c r="D566" s="1">
        <v>30000</v>
      </c>
      <c r="E566" t="str" cm="1">
        <f t="array" ref="E566">_xlfn.IFS(D566&lt;40000,"Low Income",D566&lt;=80000,"Moderate Income",D566&gt;80000,"High Income")</f>
        <v>Low Income</v>
      </c>
      <c r="F566">
        <v>0</v>
      </c>
      <c r="G566" t="s">
        <v>21</v>
      </c>
      <c r="H566" t="s">
        <v>16</v>
      </c>
      <c r="I566" t="s">
        <v>17</v>
      </c>
      <c r="J566">
        <v>1</v>
      </c>
      <c r="K566" t="s">
        <v>26</v>
      </c>
      <c r="L566" t="s">
        <v>35</v>
      </c>
      <c r="M566">
        <v>27</v>
      </c>
      <c r="N566" t="str">
        <f t="shared" si="8"/>
        <v>Young Adults</v>
      </c>
      <c r="O566" t="s">
        <v>20</v>
      </c>
    </row>
    <row r="567" spans="1:15">
      <c r="A567">
        <v>14495</v>
      </c>
      <c r="B567" t="s">
        <v>63</v>
      </c>
      <c r="C567" t="s">
        <v>49</v>
      </c>
      <c r="D567" s="1">
        <v>40000</v>
      </c>
      <c r="E567" t="str" cm="1">
        <f t="array" ref="E567">_xlfn.IFS(D567&lt;40000,"Low Income",D567&lt;=80000,"Moderate Income",D567&gt;80000,"High Income")</f>
        <v>Moderate Income</v>
      </c>
      <c r="F567">
        <v>3</v>
      </c>
      <c r="G567" t="s">
        <v>21</v>
      </c>
      <c r="H567" t="s">
        <v>23</v>
      </c>
      <c r="I567" t="s">
        <v>20</v>
      </c>
      <c r="J567">
        <v>2</v>
      </c>
      <c r="K567" t="s">
        <v>26</v>
      </c>
      <c r="L567" t="s">
        <v>35</v>
      </c>
      <c r="M567">
        <v>54</v>
      </c>
      <c r="N567" t="str">
        <f t="shared" si="8"/>
        <v>Middle-Aged</v>
      </c>
      <c r="O567" t="s">
        <v>17</v>
      </c>
    </row>
    <row r="568" spans="1:15">
      <c r="A568">
        <v>18847</v>
      </c>
      <c r="B568" t="s">
        <v>63</v>
      </c>
      <c r="C568" t="s">
        <v>47</v>
      </c>
      <c r="D568" s="1">
        <v>60000</v>
      </c>
      <c r="E568" t="str" cm="1">
        <f t="array" ref="E568">_xlfn.IFS(D568&lt;40000,"Low Income",D568&lt;=80000,"Moderate Income",D568&gt;80000,"High Income")</f>
        <v>Moderate Income</v>
      </c>
      <c r="F568">
        <v>2</v>
      </c>
      <c r="G568" t="s">
        <v>34</v>
      </c>
      <c r="H568" t="s">
        <v>31</v>
      </c>
      <c r="I568" t="s">
        <v>17</v>
      </c>
      <c r="J568">
        <v>2</v>
      </c>
      <c r="K568" t="s">
        <v>26</v>
      </c>
      <c r="L568" t="s">
        <v>35</v>
      </c>
      <c r="M568">
        <v>70</v>
      </c>
      <c r="N568" t="str">
        <f t="shared" si="8"/>
        <v>Seniors</v>
      </c>
      <c r="O568" t="s">
        <v>20</v>
      </c>
    </row>
    <row r="569" spans="1:15">
      <c r="A569">
        <v>14754</v>
      </c>
      <c r="B569" t="s">
        <v>63</v>
      </c>
      <c r="C569" t="s">
        <v>49</v>
      </c>
      <c r="D569" s="1">
        <v>40000</v>
      </c>
      <c r="E569" t="str" cm="1">
        <f t="array" ref="E569">_xlfn.IFS(D569&lt;40000,"Low Income",D569&lt;=80000,"Moderate Income",D569&gt;80000,"High Income")</f>
        <v>Moderate Income</v>
      </c>
      <c r="F569">
        <v>1</v>
      </c>
      <c r="G569" t="s">
        <v>21</v>
      </c>
      <c r="H569" t="s">
        <v>22</v>
      </c>
      <c r="I569" t="s">
        <v>17</v>
      </c>
      <c r="J569">
        <v>1</v>
      </c>
      <c r="K569" t="s">
        <v>29</v>
      </c>
      <c r="L569" t="s">
        <v>35</v>
      </c>
      <c r="M569">
        <v>48</v>
      </c>
      <c r="N569" t="str">
        <f t="shared" si="8"/>
        <v>Middle-Aged</v>
      </c>
      <c r="O569" t="s">
        <v>17</v>
      </c>
    </row>
    <row r="570" spans="1:15">
      <c r="A570">
        <v>23378</v>
      </c>
      <c r="B570" t="s">
        <v>63</v>
      </c>
      <c r="C570" t="s">
        <v>49</v>
      </c>
      <c r="D570" s="1">
        <v>70000</v>
      </c>
      <c r="E570" t="str" cm="1">
        <f t="array" ref="E570">_xlfn.IFS(D570&lt;40000,"Low Income",D570&lt;=80000,"Moderate Income",D570&gt;80000,"High Income")</f>
        <v>Moderate Income</v>
      </c>
      <c r="F570">
        <v>1</v>
      </c>
      <c r="G570" t="s">
        <v>21</v>
      </c>
      <c r="H570" t="s">
        <v>16</v>
      </c>
      <c r="I570" t="s">
        <v>17</v>
      </c>
      <c r="J570">
        <v>1</v>
      </c>
      <c r="K570" t="s">
        <v>24</v>
      </c>
      <c r="L570" t="s">
        <v>35</v>
      </c>
      <c r="M570">
        <v>44</v>
      </c>
      <c r="N570" t="str">
        <f t="shared" si="8"/>
        <v>Middle-Aged</v>
      </c>
      <c r="O570" t="s">
        <v>17</v>
      </c>
    </row>
    <row r="571" spans="1:15">
      <c r="A571">
        <v>26452</v>
      </c>
      <c r="B571" t="s">
        <v>64</v>
      </c>
      <c r="C571" t="s">
        <v>49</v>
      </c>
      <c r="D571" s="1">
        <v>50000</v>
      </c>
      <c r="E571" t="str" cm="1">
        <f t="array" ref="E571">_xlfn.IFS(D571&lt;40000,"Low Income",D571&lt;=80000,"Moderate Income",D571&gt;80000,"High Income")</f>
        <v>Moderate Income</v>
      </c>
      <c r="F571">
        <v>3</v>
      </c>
      <c r="G571" t="s">
        <v>34</v>
      </c>
      <c r="H571" t="s">
        <v>31</v>
      </c>
      <c r="I571" t="s">
        <v>17</v>
      </c>
      <c r="J571">
        <v>2</v>
      </c>
      <c r="K571" t="s">
        <v>61</v>
      </c>
      <c r="L571" t="s">
        <v>35</v>
      </c>
      <c r="M571">
        <v>69</v>
      </c>
      <c r="N571" t="str">
        <f t="shared" si="8"/>
        <v>Seniors</v>
      </c>
      <c r="O571" t="s">
        <v>20</v>
      </c>
    </row>
    <row r="572" spans="1:15">
      <c r="A572">
        <v>20370</v>
      </c>
      <c r="B572" t="s">
        <v>63</v>
      </c>
      <c r="C572" t="s">
        <v>49</v>
      </c>
      <c r="D572" s="1">
        <v>70000</v>
      </c>
      <c r="E572" t="str" cm="1">
        <f t="array" ref="E572">_xlfn.IFS(D572&lt;40000,"Low Income",D572&lt;=80000,"Moderate Income",D572&gt;80000,"High Income")</f>
        <v>Moderate Income</v>
      </c>
      <c r="F572">
        <v>3</v>
      </c>
      <c r="G572" t="s">
        <v>32</v>
      </c>
      <c r="H572" t="s">
        <v>16</v>
      </c>
      <c r="I572" t="s">
        <v>17</v>
      </c>
      <c r="J572">
        <v>2</v>
      </c>
      <c r="K572" t="s">
        <v>26</v>
      </c>
      <c r="L572" t="s">
        <v>35</v>
      </c>
      <c r="M572">
        <v>52</v>
      </c>
      <c r="N572" t="str">
        <f t="shared" si="8"/>
        <v>Middle-Aged</v>
      </c>
      <c r="O572" t="s">
        <v>20</v>
      </c>
    </row>
    <row r="573" spans="1:15">
      <c r="A573">
        <v>20528</v>
      </c>
      <c r="B573" t="s">
        <v>63</v>
      </c>
      <c r="C573" t="s">
        <v>49</v>
      </c>
      <c r="D573" s="1">
        <v>40000</v>
      </c>
      <c r="E573" t="str" cm="1">
        <f t="array" ref="E573">_xlfn.IFS(D573&lt;40000,"Low Income",D573&lt;=80000,"Moderate Income",D573&gt;80000,"High Income")</f>
        <v>Moderate Income</v>
      </c>
      <c r="F573">
        <v>2</v>
      </c>
      <c r="G573" t="s">
        <v>32</v>
      </c>
      <c r="H573" t="s">
        <v>16</v>
      </c>
      <c r="I573" t="s">
        <v>17</v>
      </c>
      <c r="J573">
        <v>2</v>
      </c>
      <c r="K573" t="s">
        <v>24</v>
      </c>
      <c r="L573" t="s">
        <v>35</v>
      </c>
      <c r="M573">
        <v>55</v>
      </c>
      <c r="N573" t="str">
        <f t="shared" si="8"/>
        <v>Middle-Aged</v>
      </c>
      <c r="O573" t="s">
        <v>20</v>
      </c>
    </row>
    <row r="574" spans="1:15">
      <c r="A574">
        <v>23549</v>
      </c>
      <c r="B574" t="s">
        <v>64</v>
      </c>
      <c r="C574" t="s">
        <v>49</v>
      </c>
      <c r="D574" s="1">
        <v>30000</v>
      </c>
      <c r="E574" t="str" cm="1">
        <f t="array" ref="E574">_xlfn.IFS(D574&lt;40000,"Low Income",D574&lt;=80000,"Moderate Income",D574&gt;80000,"High Income")</f>
        <v>Low Income</v>
      </c>
      <c r="F574">
        <v>0</v>
      </c>
      <c r="G574" t="s">
        <v>30</v>
      </c>
      <c r="H574" t="s">
        <v>16</v>
      </c>
      <c r="I574" t="s">
        <v>17</v>
      </c>
      <c r="J574">
        <v>2</v>
      </c>
      <c r="K574" t="s">
        <v>26</v>
      </c>
      <c r="L574" t="s">
        <v>35</v>
      </c>
      <c r="M574">
        <v>30</v>
      </c>
      <c r="N574" t="str">
        <f t="shared" si="8"/>
        <v>Young Adults</v>
      </c>
      <c r="O574" t="s">
        <v>20</v>
      </c>
    </row>
    <row r="575" spans="1:15">
      <c r="A575">
        <v>21751</v>
      </c>
      <c r="B575" t="s">
        <v>63</v>
      </c>
      <c r="C575" t="s">
        <v>49</v>
      </c>
      <c r="D575" s="1">
        <v>60000</v>
      </c>
      <c r="E575" t="str" cm="1">
        <f t="array" ref="E575">_xlfn.IFS(D575&lt;40000,"Low Income",D575&lt;=80000,"Moderate Income",D575&gt;80000,"High Income")</f>
        <v>Moderate Income</v>
      </c>
      <c r="F575">
        <v>3</v>
      </c>
      <c r="G575" t="s">
        <v>34</v>
      </c>
      <c r="H575" t="s">
        <v>31</v>
      </c>
      <c r="I575" t="s">
        <v>17</v>
      </c>
      <c r="J575">
        <v>2</v>
      </c>
      <c r="K575" t="s">
        <v>29</v>
      </c>
      <c r="L575" t="s">
        <v>35</v>
      </c>
      <c r="M575">
        <v>63</v>
      </c>
      <c r="N575" t="str">
        <f t="shared" si="8"/>
        <v>Seniors</v>
      </c>
      <c r="O575" t="s">
        <v>20</v>
      </c>
    </row>
    <row r="576" spans="1:15">
      <c r="A576">
        <v>21266</v>
      </c>
      <c r="B576" t="s">
        <v>64</v>
      </c>
      <c r="C576" t="s">
        <v>47</v>
      </c>
      <c r="D576" s="1">
        <v>80000</v>
      </c>
      <c r="E576" t="str" cm="1">
        <f t="array" ref="E576">_xlfn.IFS(D576&lt;40000,"Low Income",D576&lt;=80000,"Moderate Income",D576&gt;80000,"High Income")</f>
        <v>Moderate Income</v>
      </c>
      <c r="F576">
        <v>0</v>
      </c>
      <c r="G576" t="s">
        <v>15</v>
      </c>
      <c r="H576" t="s">
        <v>31</v>
      </c>
      <c r="I576" t="s">
        <v>17</v>
      </c>
      <c r="J576">
        <v>1</v>
      </c>
      <c r="K576" t="s">
        <v>29</v>
      </c>
      <c r="L576" t="s">
        <v>35</v>
      </c>
      <c r="M576">
        <v>34</v>
      </c>
      <c r="N576" t="str">
        <f t="shared" si="8"/>
        <v>Middle-Aged</v>
      </c>
      <c r="O576" t="s">
        <v>17</v>
      </c>
    </row>
    <row r="577" spans="1:15">
      <c r="A577">
        <v>13388</v>
      </c>
      <c r="B577" t="s">
        <v>64</v>
      </c>
      <c r="C577" t="s">
        <v>49</v>
      </c>
      <c r="D577" s="1">
        <v>60000</v>
      </c>
      <c r="E577" t="str" cm="1">
        <f t="array" ref="E577">_xlfn.IFS(D577&lt;40000,"Low Income",D577&lt;=80000,"Moderate Income",D577&gt;80000,"High Income")</f>
        <v>Moderate Income</v>
      </c>
      <c r="F577">
        <v>2</v>
      </c>
      <c r="G577" t="s">
        <v>21</v>
      </c>
      <c r="H577" t="s">
        <v>23</v>
      </c>
      <c r="I577" t="s">
        <v>17</v>
      </c>
      <c r="J577">
        <v>1</v>
      </c>
      <c r="K577" t="s">
        <v>61</v>
      </c>
      <c r="L577" t="s">
        <v>35</v>
      </c>
      <c r="M577">
        <v>56</v>
      </c>
      <c r="N577" t="str">
        <f t="shared" si="8"/>
        <v>Middle-Aged</v>
      </c>
      <c r="O577" t="s">
        <v>20</v>
      </c>
    </row>
    <row r="578" spans="1:15">
      <c r="A578">
        <v>18752</v>
      </c>
      <c r="B578" t="s">
        <v>64</v>
      </c>
      <c r="C578" t="s">
        <v>47</v>
      </c>
      <c r="D578" s="1">
        <v>40000</v>
      </c>
      <c r="E578" t="str" cm="1">
        <f t="array" ref="E578">_xlfn.IFS(D578&lt;40000,"Low Income",D578&lt;=80000,"Moderate Income",D578&gt;80000,"High Income")</f>
        <v>Moderate Income</v>
      </c>
      <c r="F578">
        <v>0</v>
      </c>
      <c r="G578" t="s">
        <v>30</v>
      </c>
      <c r="H578" t="s">
        <v>16</v>
      </c>
      <c r="I578" t="s">
        <v>17</v>
      </c>
      <c r="J578">
        <v>1</v>
      </c>
      <c r="K578" t="s">
        <v>26</v>
      </c>
      <c r="L578" t="s">
        <v>35</v>
      </c>
      <c r="M578">
        <v>31</v>
      </c>
      <c r="N578" t="str">
        <f t="shared" si="8"/>
        <v>Middle-Aged</v>
      </c>
      <c r="O578" t="s">
        <v>20</v>
      </c>
    </row>
    <row r="579" spans="1:15">
      <c r="A579">
        <v>16917</v>
      </c>
      <c r="B579" t="s">
        <v>63</v>
      </c>
      <c r="C579" t="s">
        <v>49</v>
      </c>
      <c r="D579" s="1">
        <v>120000</v>
      </c>
      <c r="E579" t="str" cm="1">
        <f t="array" ref="E579">_xlfn.IFS(D579&lt;40000,"Low Income",D579&lt;=80000,"Moderate Income",D579&gt;80000,"High Income")</f>
        <v>High Income</v>
      </c>
      <c r="F579">
        <v>1</v>
      </c>
      <c r="G579" t="s">
        <v>15</v>
      </c>
      <c r="H579" t="s">
        <v>31</v>
      </c>
      <c r="I579" t="s">
        <v>17</v>
      </c>
      <c r="J579">
        <v>4</v>
      </c>
      <c r="K579" t="s">
        <v>18</v>
      </c>
      <c r="L579" t="s">
        <v>35</v>
      </c>
      <c r="M579">
        <v>38</v>
      </c>
      <c r="N579" t="str">
        <f t="shared" ref="N579:N642" si="9">IF(M579&gt;=60,"Seniors",IF(M579&gt;30,"Middle-Aged",IF(M579&lt;=30,"Young Adults")))</f>
        <v>Middle-Aged</v>
      </c>
      <c r="O579" t="s">
        <v>20</v>
      </c>
    </row>
    <row r="580" spans="1:15">
      <c r="A580">
        <v>15313</v>
      </c>
      <c r="B580" t="s">
        <v>63</v>
      </c>
      <c r="C580" t="s">
        <v>49</v>
      </c>
      <c r="D580" s="1">
        <v>60000</v>
      </c>
      <c r="E580" t="str" cm="1">
        <f t="array" ref="E580">_xlfn.IFS(D580&lt;40000,"Low Income",D580&lt;=80000,"Moderate Income",D580&gt;80000,"High Income")</f>
        <v>Moderate Income</v>
      </c>
      <c r="F580">
        <v>4</v>
      </c>
      <c r="G580" t="s">
        <v>15</v>
      </c>
      <c r="H580" t="s">
        <v>31</v>
      </c>
      <c r="I580" t="s">
        <v>17</v>
      </c>
      <c r="J580">
        <v>2</v>
      </c>
      <c r="K580" t="s">
        <v>24</v>
      </c>
      <c r="L580" t="s">
        <v>35</v>
      </c>
      <c r="M580">
        <v>59</v>
      </c>
      <c r="N580" t="str">
        <f t="shared" si="9"/>
        <v>Middle-Aged</v>
      </c>
      <c r="O580" t="s">
        <v>20</v>
      </c>
    </row>
    <row r="581" spans="1:15">
      <c r="A581">
        <v>25329</v>
      </c>
      <c r="B581" t="s">
        <v>64</v>
      </c>
      <c r="C581" t="s">
        <v>47</v>
      </c>
      <c r="D581" s="1">
        <v>40000</v>
      </c>
      <c r="E581" t="str" cm="1">
        <f t="array" ref="E581">_xlfn.IFS(D581&lt;40000,"Low Income",D581&lt;=80000,"Moderate Income",D581&gt;80000,"High Income")</f>
        <v>Moderate Income</v>
      </c>
      <c r="F581">
        <v>3</v>
      </c>
      <c r="G581" t="s">
        <v>21</v>
      </c>
      <c r="H581" t="s">
        <v>22</v>
      </c>
      <c r="I581" t="s">
        <v>20</v>
      </c>
      <c r="J581">
        <v>2</v>
      </c>
      <c r="K581" t="s">
        <v>18</v>
      </c>
      <c r="L581" t="s">
        <v>35</v>
      </c>
      <c r="M581">
        <v>32</v>
      </c>
      <c r="N581" t="str">
        <f t="shared" si="9"/>
        <v>Middle-Aged</v>
      </c>
      <c r="O581" t="s">
        <v>20</v>
      </c>
    </row>
    <row r="582" spans="1:15">
      <c r="A582">
        <v>20380</v>
      </c>
      <c r="B582" t="s">
        <v>63</v>
      </c>
      <c r="C582" t="s">
        <v>47</v>
      </c>
      <c r="D582" s="1">
        <v>60000</v>
      </c>
      <c r="E582" t="str" cm="1">
        <f t="array" ref="E582">_xlfn.IFS(D582&lt;40000,"Low Income",D582&lt;=80000,"Moderate Income",D582&gt;80000,"High Income")</f>
        <v>Moderate Income</v>
      </c>
      <c r="F582">
        <v>3</v>
      </c>
      <c r="G582" t="s">
        <v>34</v>
      </c>
      <c r="H582" t="s">
        <v>31</v>
      </c>
      <c r="I582" t="s">
        <v>17</v>
      </c>
      <c r="J582">
        <v>2</v>
      </c>
      <c r="K582" t="s">
        <v>61</v>
      </c>
      <c r="L582" t="s">
        <v>35</v>
      </c>
      <c r="M582">
        <v>69</v>
      </c>
      <c r="N582" t="str">
        <f t="shared" si="9"/>
        <v>Seniors</v>
      </c>
      <c r="O582" t="s">
        <v>20</v>
      </c>
    </row>
    <row r="583" spans="1:15">
      <c r="A583">
        <v>23089</v>
      </c>
      <c r="B583" t="s">
        <v>63</v>
      </c>
      <c r="C583" t="s">
        <v>49</v>
      </c>
      <c r="D583" s="1">
        <v>40000</v>
      </c>
      <c r="E583" t="str" cm="1">
        <f t="array" ref="E583">_xlfn.IFS(D583&lt;40000,"Low Income",D583&lt;=80000,"Moderate Income",D583&gt;80000,"High Income")</f>
        <v>Moderate Income</v>
      </c>
      <c r="F583">
        <v>0</v>
      </c>
      <c r="G583" t="s">
        <v>21</v>
      </c>
      <c r="H583" t="s">
        <v>16</v>
      </c>
      <c r="I583" t="s">
        <v>17</v>
      </c>
      <c r="J583">
        <v>1</v>
      </c>
      <c r="K583" t="s">
        <v>26</v>
      </c>
      <c r="L583" t="s">
        <v>35</v>
      </c>
      <c r="M583">
        <v>28</v>
      </c>
      <c r="N583" t="str">
        <f t="shared" si="9"/>
        <v>Young Adults</v>
      </c>
      <c r="O583" t="s">
        <v>20</v>
      </c>
    </row>
    <row r="584" spans="1:15">
      <c r="A584">
        <v>13749</v>
      </c>
      <c r="B584" t="s">
        <v>63</v>
      </c>
      <c r="C584" t="s">
        <v>49</v>
      </c>
      <c r="D584" s="1">
        <v>80000</v>
      </c>
      <c r="E584" t="str" cm="1">
        <f t="array" ref="E584">_xlfn.IFS(D584&lt;40000,"Low Income",D584&lt;=80000,"Moderate Income",D584&gt;80000,"High Income")</f>
        <v>Moderate Income</v>
      </c>
      <c r="F584">
        <v>4</v>
      </c>
      <c r="G584" t="s">
        <v>34</v>
      </c>
      <c r="H584" t="s">
        <v>16</v>
      </c>
      <c r="I584" t="s">
        <v>17</v>
      </c>
      <c r="J584">
        <v>0</v>
      </c>
      <c r="K584" t="s">
        <v>29</v>
      </c>
      <c r="L584" t="s">
        <v>35</v>
      </c>
      <c r="M584">
        <v>47</v>
      </c>
      <c r="N584" t="str">
        <f t="shared" si="9"/>
        <v>Middle-Aged</v>
      </c>
      <c r="O584" t="s">
        <v>20</v>
      </c>
    </row>
    <row r="585" spans="1:15">
      <c r="A585">
        <v>24943</v>
      </c>
      <c r="B585" t="s">
        <v>63</v>
      </c>
      <c r="C585" t="s">
        <v>49</v>
      </c>
      <c r="D585" s="1">
        <v>60000</v>
      </c>
      <c r="E585" t="str" cm="1">
        <f t="array" ref="E585">_xlfn.IFS(D585&lt;40000,"Low Income",D585&lt;=80000,"Moderate Income",D585&gt;80000,"High Income")</f>
        <v>Moderate Income</v>
      </c>
      <c r="F585">
        <v>3</v>
      </c>
      <c r="G585" t="s">
        <v>15</v>
      </c>
      <c r="H585" t="s">
        <v>31</v>
      </c>
      <c r="I585" t="s">
        <v>17</v>
      </c>
      <c r="J585">
        <v>2</v>
      </c>
      <c r="K585" t="s">
        <v>61</v>
      </c>
      <c r="L585" t="s">
        <v>35</v>
      </c>
      <c r="M585">
        <v>66</v>
      </c>
      <c r="N585" t="str">
        <f t="shared" si="9"/>
        <v>Seniors</v>
      </c>
      <c r="O585" t="s">
        <v>20</v>
      </c>
    </row>
    <row r="586" spans="1:15">
      <c r="A586">
        <v>28667</v>
      </c>
      <c r="B586" t="s">
        <v>64</v>
      </c>
      <c r="C586" t="s">
        <v>49</v>
      </c>
      <c r="D586" s="1">
        <v>70000</v>
      </c>
      <c r="E586" t="str" cm="1">
        <f t="array" ref="E586">_xlfn.IFS(D586&lt;40000,"Low Income",D586&lt;=80000,"Moderate Income",D586&gt;80000,"High Income")</f>
        <v>Moderate Income</v>
      </c>
      <c r="F586">
        <v>2</v>
      </c>
      <c r="G586" t="s">
        <v>15</v>
      </c>
      <c r="H586" t="s">
        <v>16</v>
      </c>
      <c r="I586" t="s">
        <v>20</v>
      </c>
      <c r="J586">
        <v>1</v>
      </c>
      <c r="K586" t="s">
        <v>18</v>
      </c>
      <c r="L586" t="s">
        <v>35</v>
      </c>
      <c r="M586">
        <v>37</v>
      </c>
      <c r="N586" t="str">
        <f t="shared" si="9"/>
        <v>Middle-Aged</v>
      </c>
      <c r="O586" t="s">
        <v>17</v>
      </c>
    </row>
    <row r="587" spans="1:15">
      <c r="A587">
        <v>15194</v>
      </c>
      <c r="B587" t="s">
        <v>64</v>
      </c>
      <c r="C587" t="s">
        <v>49</v>
      </c>
      <c r="D587" s="1">
        <v>120000</v>
      </c>
      <c r="E587" t="str" cm="1">
        <f t="array" ref="E587">_xlfn.IFS(D587&lt;40000,"Low Income",D587&lt;=80000,"Moderate Income",D587&gt;80000,"High Income")</f>
        <v>High Income</v>
      </c>
      <c r="F587">
        <v>2</v>
      </c>
      <c r="G587" t="s">
        <v>15</v>
      </c>
      <c r="H587" t="s">
        <v>31</v>
      </c>
      <c r="I587" t="s">
        <v>20</v>
      </c>
      <c r="J587">
        <v>3</v>
      </c>
      <c r="K587" t="s">
        <v>18</v>
      </c>
      <c r="L587" t="s">
        <v>35</v>
      </c>
      <c r="M587">
        <v>39</v>
      </c>
      <c r="N587" t="str">
        <f t="shared" si="9"/>
        <v>Middle-Aged</v>
      </c>
      <c r="O587" t="s">
        <v>17</v>
      </c>
    </row>
    <row r="588" spans="1:15">
      <c r="A588">
        <v>17436</v>
      </c>
      <c r="B588" t="s">
        <v>63</v>
      </c>
      <c r="C588" t="s">
        <v>49</v>
      </c>
      <c r="D588" s="1">
        <v>60000</v>
      </c>
      <c r="E588" t="str" cm="1">
        <f t="array" ref="E588">_xlfn.IFS(D588&lt;40000,"Low Income",D588&lt;=80000,"Moderate Income",D588&gt;80000,"High Income")</f>
        <v>Moderate Income</v>
      </c>
      <c r="F588">
        <v>2</v>
      </c>
      <c r="G588" t="s">
        <v>30</v>
      </c>
      <c r="H588" t="s">
        <v>23</v>
      </c>
      <c r="I588" t="s">
        <v>20</v>
      </c>
      <c r="J588">
        <v>2</v>
      </c>
      <c r="K588" t="s">
        <v>29</v>
      </c>
      <c r="L588" t="s">
        <v>35</v>
      </c>
      <c r="M588">
        <v>51</v>
      </c>
      <c r="N588" t="str">
        <f t="shared" si="9"/>
        <v>Middle-Aged</v>
      </c>
      <c r="O588" t="s">
        <v>20</v>
      </c>
    </row>
    <row r="589" spans="1:15">
      <c r="A589">
        <v>18935</v>
      </c>
      <c r="B589" t="s">
        <v>63</v>
      </c>
      <c r="C589" t="s">
        <v>47</v>
      </c>
      <c r="D589" s="1">
        <v>130000</v>
      </c>
      <c r="E589" t="str" cm="1">
        <f t="array" ref="E589">_xlfn.IFS(D589&lt;40000,"Low Income",D589&lt;=80000,"Moderate Income",D589&gt;80000,"High Income")</f>
        <v>High Income</v>
      </c>
      <c r="F589">
        <v>0</v>
      </c>
      <c r="G589" t="s">
        <v>34</v>
      </c>
      <c r="H589" t="s">
        <v>31</v>
      </c>
      <c r="I589" t="s">
        <v>17</v>
      </c>
      <c r="J589">
        <v>3</v>
      </c>
      <c r="K589" t="s">
        <v>29</v>
      </c>
      <c r="L589" t="s">
        <v>35</v>
      </c>
      <c r="M589">
        <v>40</v>
      </c>
      <c r="N589" t="str">
        <f t="shared" si="9"/>
        <v>Middle-Aged</v>
      </c>
      <c r="O589" t="s">
        <v>20</v>
      </c>
    </row>
    <row r="590" spans="1:15">
      <c r="A590">
        <v>16871</v>
      </c>
      <c r="B590" t="s">
        <v>63</v>
      </c>
      <c r="C590" t="s">
        <v>47</v>
      </c>
      <c r="D590" s="1">
        <v>90000</v>
      </c>
      <c r="E590" t="str" cm="1">
        <f t="array" ref="E590">_xlfn.IFS(D590&lt;40000,"Low Income",D590&lt;=80000,"Moderate Income",D590&gt;80000,"High Income")</f>
        <v>High Income</v>
      </c>
      <c r="F590">
        <v>2</v>
      </c>
      <c r="G590" t="s">
        <v>30</v>
      </c>
      <c r="H590" t="s">
        <v>23</v>
      </c>
      <c r="I590" t="s">
        <v>17</v>
      </c>
      <c r="J590">
        <v>1</v>
      </c>
      <c r="K590" t="s">
        <v>61</v>
      </c>
      <c r="L590" t="s">
        <v>35</v>
      </c>
      <c r="M590">
        <v>51</v>
      </c>
      <c r="N590" t="str">
        <f t="shared" si="9"/>
        <v>Middle-Aged</v>
      </c>
      <c r="O590" t="s">
        <v>17</v>
      </c>
    </row>
    <row r="591" spans="1:15">
      <c r="A591">
        <v>12100</v>
      </c>
      <c r="B591" t="s">
        <v>64</v>
      </c>
      <c r="C591" t="s">
        <v>49</v>
      </c>
      <c r="D591" s="1">
        <v>60000</v>
      </c>
      <c r="E591" t="str" cm="1">
        <f t="array" ref="E591">_xlfn.IFS(D591&lt;40000,"Low Income",D591&lt;=80000,"Moderate Income",D591&gt;80000,"High Income")</f>
        <v>Moderate Income</v>
      </c>
      <c r="F591">
        <v>2</v>
      </c>
      <c r="G591" t="s">
        <v>15</v>
      </c>
      <c r="H591" t="s">
        <v>31</v>
      </c>
      <c r="I591" t="s">
        <v>17</v>
      </c>
      <c r="J591">
        <v>0</v>
      </c>
      <c r="K591" t="s">
        <v>61</v>
      </c>
      <c r="L591" t="s">
        <v>35</v>
      </c>
      <c r="M591">
        <v>57</v>
      </c>
      <c r="N591" t="str">
        <f t="shared" si="9"/>
        <v>Middle-Aged</v>
      </c>
      <c r="O591" t="s">
        <v>20</v>
      </c>
    </row>
    <row r="592" spans="1:15">
      <c r="A592">
        <v>23158</v>
      </c>
      <c r="B592" t="s">
        <v>63</v>
      </c>
      <c r="C592" t="s">
        <v>47</v>
      </c>
      <c r="D592" s="1">
        <v>60000</v>
      </c>
      <c r="E592" t="str" cm="1">
        <f t="array" ref="E592">_xlfn.IFS(D592&lt;40000,"Low Income",D592&lt;=80000,"Moderate Income",D592&gt;80000,"High Income")</f>
        <v>Moderate Income</v>
      </c>
      <c r="F592">
        <v>1</v>
      </c>
      <c r="G592" t="s">
        <v>34</v>
      </c>
      <c r="H592" t="s">
        <v>23</v>
      </c>
      <c r="I592" t="s">
        <v>20</v>
      </c>
      <c r="J592">
        <v>0</v>
      </c>
      <c r="K592" t="s">
        <v>18</v>
      </c>
      <c r="L592" t="s">
        <v>35</v>
      </c>
      <c r="M592">
        <v>35</v>
      </c>
      <c r="N592" t="str">
        <f t="shared" si="9"/>
        <v>Middle-Aged</v>
      </c>
      <c r="O592" t="s">
        <v>17</v>
      </c>
    </row>
    <row r="593" spans="1:15">
      <c r="A593">
        <v>18545</v>
      </c>
      <c r="B593" t="s">
        <v>63</v>
      </c>
      <c r="C593" t="s">
        <v>49</v>
      </c>
      <c r="D593" s="1">
        <v>40000</v>
      </c>
      <c r="E593" t="str" cm="1">
        <f t="array" ref="E593">_xlfn.IFS(D593&lt;40000,"Low Income",D593&lt;=80000,"Moderate Income",D593&gt;80000,"High Income")</f>
        <v>Moderate Income</v>
      </c>
      <c r="F593">
        <v>4</v>
      </c>
      <c r="G593" t="s">
        <v>30</v>
      </c>
      <c r="H593" t="s">
        <v>23</v>
      </c>
      <c r="I593" t="s">
        <v>20</v>
      </c>
      <c r="J593">
        <v>2</v>
      </c>
      <c r="K593" t="s">
        <v>61</v>
      </c>
      <c r="L593" t="s">
        <v>35</v>
      </c>
      <c r="M593">
        <v>61</v>
      </c>
      <c r="N593" t="str">
        <f t="shared" si="9"/>
        <v>Seniors</v>
      </c>
      <c r="O593" t="s">
        <v>17</v>
      </c>
    </row>
    <row r="594" spans="1:15">
      <c r="A594">
        <v>18391</v>
      </c>
      <c r="B594" t="s">
        <v>64</v>
      </c>
      <c r="C594" t="s">
        <v>47</v>
      </c>
      <c r="D594" s="1">
        <v>80000</v>
      </c>
      <c r="E594" t="str" cm="1">
        <f t="array" ref="E594">_xlfn.IFS(D594&lt;40000,"Low Income",D594&lt;=80000,"Moderate Income",D594&gt;80000,"High Income")</f>
        <v>Moderate Income</v>
      </c>
      <c r="F594">
        <v>5</v>
      </c>
      <c r="G594" t="s">
        <v>21</v>
      </c>
      <c r="H594" t="s">
        <v>23</v>
      </c>
      <c r="I594" t="s">
        <v>17</v>
      </c>
      <c r="J594">
        <v>2</v>
      </c>
      <c r="K594" t="s">
        <v>26</v>
      </c>
      <c r="L594" t="s">
        <v>35</v>
      </c>
      <c r="M594">
        <v>44</v>
      </c>
      <c r="N594" t="str">
        <f t="shared" si="9"/>
        <v>Middle-Aged</v>
      </c>
      <c r="O594" t="s">
        <v>20</v>
      </c>
    </row>
    <row r="595" spans="1:15">
      <c r="A595">
        <v>19812</v>
      </c>
      <c r="B595" t="s">
        <v>64</v>
      </c>
      <c r="C595" t="s">
        <v>47</v>
      </c>
      <c r="D595" s="1">
        <v>70000</v>
      </c>
      <c r="E595" t="str" cm="1">
        <f t="array" ref="E595">_xlfn.IFS(D595&lt;40000,"Low Income",D595&lt;=80000,"Moderate Income",D595&gt;80000,"High Income")</f>
        <v>Moderate Income</v>
      </c>
      <c r="F595">
        <v>2</v>
      </c>
      <c r="G595" t="s">
        <v>21</v>
      </c>
      <c r="H595" t="s">
        <v>23</v>
      </c>
      <c r="I595" t="s">
        <v>17</v>
      </c>
      <c r="J595">
        <v>0</v>
      </c>
      <c r="K595" t="s">
        <v>26</v>
      </c>
      <c r="L595" t="s">
        <v>35</v>
      </c>
      <c r="M595">
        <v>49</v>
      </c>
      <c r="N595" t="str">
        <f t="shared" si="9"/>
        <v>Middle-Aged</v>
      </c>
      <c r="O595" t="s">
        <v>17</v>
      </c>
    </row>
    <row r="596" spans="1:15">
      <c r="A596">
        <v>27660</v>
      </c>
      <c r="B596" t="s">
        <v>63</v>
      </c>
      <c r="C596" t="s">
        <v>49</v>
      </c>
      <c r="D596" s="1">
        <v>80000</v>
      </c>
      <c r="E596" t="str" cm="1">
        <f t="array" ref="E596">_xlfn.IFS(D596&lt;40000,"Low Income",D596&lt;=80000,"Moderate Income",D596&gt;80000,"High Income")</f>
        <v>Moderate Income</v>
      </c>
      <c r="F596">
        <v>4</v>
      </c>
      <c r="G596" t="s">
        <v>34</v>
      </c>
      <c r="H596" t="s">
        <v>31</v>
      </c>
      <c r="I596" t="s">
        <v>17</v>
      </c>
      <c r="J596">
        <v>2</v>
      </c>
      <c r="K596" t="s">
        <v>26</v>
      </c>
      <c r="L596" t="s">
        <v>35</v>
      </c>
      <c r="M596">
        <v>70</v>
      </c>
      <c r="N596" t="str">
        <f t="shared" si="9"/>
        <v>Seniors</v>
      </c>
      <c r="O596" t="s">
        <v>20</v>
      </c>
    </row>
    <row r="597" spans="1:15">
      <c r="A597">
        <v>18058</v>
      </c>
      <c r="B597" t="s">
        <v>64</v>
      </c>
      <c r="C597" t="s">
        <v>47</v>
      </c>
      <c r="D597" s="1">
        <v>20000</v>
      </c>
      <c r="E597" t="str" cm="1">
        <f t="array" ref="E597">_xlfn.IFS(D597&lt;40000,"Low Income",D597&lt;=80000,"Moderate Income",D597&gt;80000,"High Income")</f>
        <v>Low Income</v>
      </c>
      <c r="F597">
        <v>3</v>
      </c>
      <c r="G597" t="s">
        <v>30</v>
      </c>
      <c r="H597" t="s">
        <v>16</v>
      </c>
      <c r="I597" t="s">
        <v>17</v>
      </c>
      <c r="J597">
        <v>2</v>
      </c>
      <c r="K597" t="s">
        <v>24</v>
      </c>
      <c r="L597" t="s">
        <v>35</v>
      </c>
      <c r="M597">
        <v>78</v>
      </c>
      <c r="N597" t="str">
        <f t="shared" si="9"/>
        <v>Seniors</v>
      </c>
      <c r="O597" t="s">
        <v>20</v>
      </c>
    </row>
    <row r="598" spans="1:15">
      <c r="A598">
        <v>20343</v>
      </c>
      <c r="B598" t="s">
        <v>63</v>
      </c>
      <c r="C598" t="s">
        <v>47</v>
      </c>
      <c r="D598" s="1">
        <v>90000</v>
      </c>
      <c r="E598" t="str" cm="1">
        <f t="array" ref="E598">_xlfn.IFS(D598&lt;40000,"Low Income",D598&lt;=80000,"Moderate Income",D598&gt;80000,"High Income")</f>
        <v>High Income</v>
      </c>
      <c r="F598">
        <v>4</v>
      </c>
      <c r="G598" t="s">
        <v>21</v>
      </c>
      <c r="H598" t="s">
        <v>23</v>
      </c>
      <c r="I598" t="s">
        <v>17</v>
      </c>
      <c r="J598">
        <v>1</v>
      </c>
      <c r="K598" t="s">
        <v>29</v>
      </c>
      <c r="L598" t="s">
        <v>35</v>
      </c>
      <c r="M598">
        <v>45</v>
      </c>
      <c r="N598" t="str">
        <f t="shared" si="9"/>
        <v>Middle-Aged</v>
      </c>
      <c r="O598" t="s">
        <v>20</v>
      </c>
    </row>
    <row r="599" spans="1:15">
      <c r="A599">
        <v>28997</v>
      </c>
      <c r="B599" t="s">
        <v>64</v>
      </c>
      <c r="C599" t="s">
        <v>49</v>
      </c>
      <c r="D599" s="1">
        <v>40000</v>
      </c>
      <c r="E599" t="str" cm="1">
        <f t="array" ref="E599">_xlfn.IFS(D599&lt;40000,"Low Income",D599&lt;=80000,"Moderate Income",D599&gt;80000,"High Income")</f>
        <v>Moderate Income</v>
      </c>
      <c r="F599">
        <v>2</v>
      </c>
      <c r="G599" t="s">
        <v>30</v>
      </c>
      <c r="H599" t="s">
        <v>23</v>
      </c>
      <c r="I599" t="s">
        <v>20</v>
      </c>
      <c r="J599">
        <v>1</v>
      </c>
      <c r="K599" t="s">
        <v>24</v>
      </c>
      <c r="L599" t="s">
        <v>35</v>
      </c>
      <c r="M599">
        <v>58</v>
      </c>
      <c r="N599" t="str">
        <f t="shared" si="9"/>
        <v>Middle-Aged</v>
      </c>
      <c r="O599" t="s">
        <v>17</v>
      </c>
    </row>
    <row r="600" spans="1:15">
      <c r="A600">
        <v>24398</v>
      </c>
      <c r="B600" t="s">
        <v>63</v>
      </c>
      <c r="C600" t="s">
        <v>49</v>
      </c>
      <c r="D600" s="1">
        <v>130000</v>
      </c>
      <c r="E600" t="str" cm="1">
        <f t="array" ref="E600">_xlfn.IFS(D600&lt;40000,"Low Income",D600&lt;=80000,"Moderate Income",D600&gt;80000,"High Income")</f>
        <v>High Income</v>
      </c>
      <c r="F600">
        <v>1</v>
      </c>
      <c r="G600" t="s">
        <v>34</v>
      </c>
      <c r="H600" t="s">
        <v>31</v>
      </c>
      <c r="I600" t="s">
        <v>17</v>
      </c>
      <c r="J600">
        <v>4</v>
      </c>
      <c r="K600" t="s">
        <v>18</v>
      </c>
      <c r="L600" t="s">
        <v>35</v>
      </c>
      <c r="M600">
        <v>41</v>
      </c>
      <c r="N600" t="str">
        <f t="shared" si="9"/>
        <v>Middle-Aged</v>
      </c>
      <c r="O600" t="s">
        <v>20</v>
      </c>
    </row>
    <row r="601" spans="1:15">
      <c r="A601">
        <v>19002</v>
      </c>
      <c r="B601" t="s">
        <v>63</v>
      </c>
      <c r="C601" t="s">
        <v>47</v>
      </c>
      <c r="D601" s="1">
        <v>60000</v>
      </c>
      <c r="E601" t="str" cm="1">
        <f t="array" ref="E601">_xlfn.IFS(D601&lt;40000,"Low Income",D601&lt;=80000,"Moderate Income",D601&gt;80000,"High Income")</f>
        <v>Moderate Income</v>
      </c>
      <c r="F601">
        <v>2</v>
      </c>
      <c r="G601" t="s">
        <v>21</v>
      </c>
      <c r="H601" t="s">
        <v>23</v>
      </c>
      <c r="I601" t="s">
        <v>17</v>
      </c>
      <c r="J601">
        <v>1</v>
      </c>
      <c r="K601" t="s">
        <v>24</v>
      </c>
      <c r="L601" t="s">
        <v>35</v>
      </c>
      <c r="M601">
        <v>57</v>
      </c>
      <c r="N601" t="str">
        <f t="shared" si="9"/>
        <v>Middle-Aged</v>
      </c>
      <c r="O601" t="s">
        <v>17</v>
      </c>
    </row>
    <row r="602" spans="1:15">
      <c r="A602">
        <v>28609</v>
      </c>
      <c r="B602" t="s">
        <v>63</v>
      </c>
      <c r="C602" t="s">
        <v>49</v>
      </c>
      <c r="D602" s="1">
        <v>30000</v>
      </c>
      <c r="E602" t="str" cm="1">
        <f t="array" ref="E602">_xlfn.IFS(D602&lt;40000,"Low Income",D602&lt;=80000,"Moderate Income",D602&gt;80000,"High Income")</f>
        <v>Low Income</v>
      </c>
      <c r="F602">
        <v>2</v>
      </c>
      <c r="G602" t="s">
        <v>30</v>
      </c>
      <c r="H602" t="s">
        <v>16</v>
      </c>
      <c r="I602" t="s">
        <v>20</v>
      </c>
      <c r="J602">
        <v>2</v>
      </c>
      <c r="K602" t="s">
        <v>18</v>
      </c>
      <c r="L602" t="s">
        <v>35</v>
      </c>
      <c r="M602">
        <v>49</v>
      </c>
      <c r="N602" t="str">
        <f t="shared" si="9"/>
        <v>Middle-Aged</v>
      </c>
      <c r="O602" t="s">
        <v>20</v>
      </c>
    </row>
    <row r="603" spans="1:15">
      <c r="A603">
        <v>29231</v>
      </c>
      <c r="B603" t="s">
        <v>64</v>
      </c>
      <c r="C603" t="s">
        <v>49</v>
      </c>
      <c r="D603" s="1">
        <v>80000</v>
      </c>
      <c r="E603" t="str" cm="1">
        <f t="array" ref="E603">_xlfn.IFS(D603&lt;40000,"Low Income",D603&lt;=80000,"Moderate Income",D603&gt;80000,"High Income")</f>
        <v>Moderate Income</v>
      </c>
      <c r="F603">
        <v>4</v>
      </c>
      <c r="G603" t="s">
        <v>21</v>
      </c>
      <c r="H603" t="s">
        <v>23</v>
      </c>
      <c r="I603" t="s">
        <v>20</v>
      </c>
      <c r="J603">
        <v>2</v>
      </c>
      <c r="K603" t="s">
        <v>18</v>
      </c>
      <c r="L603" t="s">
        <v>35</v>
      </c>
      <c r="M603">
        <v>43</v>
      </c>
      <c r="N603" t="str">
        <f t="shared" si="9"/>
        <v>Middle-Aged</v>
      </c>
      <c r="O603" t="s">
        <v>20</v>
      </c>
    </row>
    <row r="604" spans="1:15">
      <c r="A604">
        <v>18858</v>
      </c>
      <c r="B604" t="s">
        <v>64</v>
      </c>
      <c r="C604" t="s">
        <v>49</v>
      </c>
      <c r="D604" s="1">
        <v>60000</v>
      </c>
      <c r="E604" t="str" cm="1">
        <f t="array" ref="E604">_xlfn.IFS(D604&lt;40000,"Low Income",D604&lt;=80000,"Moderate Income",D604&gt;80000,"High Income")</f>
        <v>Moderate Income</v>
      </c>
      <c r="F604">
        <v>2</v>
      </c>
      <c r="G604" t="s">
        <v>32</v>
      </c>
      <c r="H604" t="s">
        <v>16</v>
      </c>
      <c r="I604" t="s">
        <v>17</v>
      </c>
      <c r="J604">
        <v>2</v>
      </c>
      <c r="K604" t="s">
        <v>26</v>
      </c>
      <c r="L604" t="s">
        <v>35</v>
      </c>
      <c r="M604">
        <v>52</v>
      </c>
      <c r="N604" t="str">
        <f t="shared" si="9"/>
        <v>Middle-Aged</v>
      </c>
      <c r="O604" t="s">
        <v>17</v>
      </c>
    </row>
    <row r="605" spans="1:15">
      <c r="A605">
        <v>20000</v>
      </c>
      <c r="B605" t="s">
        <v>63</v>
      </c>
      <c r="C605" t="s">
        <v>49</v>
      </c>
      <c r="D605" s="1">
        <v>60000</v>
      </c>
      <c r="E605" t="str" cm="1">
        <f t="array" ref="E605">_xlfn.IFS(D605&lt;40000,"Low Income",D605&lt;=80000,"Moderate Income",D605&gt;80000,"High Income")</f>
        <v>Moderate Income</v>
      </c>
      <c r="F605">
        <v>1</v>
      </c>
      <c r="G605" t="s">
        <v>34</v>
      </c>
      <c r="H605" t="s">
        <v>23</v>
      </c>
      <c r="I605" t="s">
        <v>17</v>
      </c>
      <c r="J605">
        <v>0</v>
      </c>
      <c r="K605" t="s">
        <v>18</v>
      </c>
      <c r="L605" t="s">
        <v>35</v>
      </c>
      <c r="M605">
        <v>35</v>
      </c>
      <c r="N605" t="str">
        <f t="shared" si="9"/>
        <v>Middle-Aged</v>
      </c>
      <c r="O605" t="s">
        <v>17</v>
      </c>
    </row>
    <row r="606" spans="1:15">
      <c r="A606">
        <v>25261</v>
      </c>
      <c r="B606" t="s">
        <v>63</v>
      </c>
      <c r="C606" t="s">
        <v>49</v>
      </c>
      <c r="D606" s="1">
        <v>40000</v>
      </c>
      <c r="E606" t="str" cm="1">
        <f t="array" ref="E606">_xlfn.IFS(D606&lt;40000,"Low Income",D606&lt;=80000,"Moderate Income",D606&gt;80000,"High Income")</f>
        <v>Moderate Income</v>
      </c>
      <c r="F606">
        <v>0</v>
      </c>
      <c r="G606" t="s">
        <v>30</v>
      </c>
      <c r="H606" t="s">
        <v>16</v>
      </c>
      <c r="I606" t="s">
        <v>17</v>
      </c>
      <c r="J606">
        <v>2</v>
      </c>
      <c r="K606" t="s">
        <v>26</v>
      </c>
      <c r="L606" t="s">
        <v>35</v>
      </c>
      <c r="M606">
        <v>27</v>
      </c>
      <c r="N606" t="str">
        <f t="shared" si="9"/>
        <v>Young Adults</v>
      </c>
      <c r="O606" t="s">
        <v>20</v>
      </c>
    </row>
    <row r="607" spans="1:15">
      <c r="A607">
        <v>17458</v>
      </c>
      <c r="B607" t="s">
        <v>64</v>
      </c>
      <c r="C607" t="s">
        <v>49</v>
      </c>
      <c r="D607" s="1">
        <v>70000</v>
      </c>
      <c r="E607" t="str" cm="1">
        <f t="array" ref="E607">_xlfn.IFS(D607&lt;40000,"Low Income",D607&lt;=80000,"Moderate Income",D607&gt;80000,"High Income")</f>
        <v>Moderate Income</v>
      </c>
      <c r="F607">
        <v>3</v>
      </c>
      <c r="G607" t="s">
        <v>30</v>
      </c>
      <c r="H607" t="s">
        <v>23</v>
      </c>
      <c r="I607" t="s">
        <v>17</v>
      </c>
      <c r="J607">
        <v>0</v>
      </c>
      <c r="K607" t="s">
        <v>26</v>
      </c>
      <c r="L607" t="s">
        <v>35</v>
      </c>
      <c r="M607">
        <v>52</v>
      </c>
      <c r="N607" t="str">
        <f t="shared" si="9"/>
        <v>Middle-Aged</v>
      </c>
      <c r="O607" t="s">
        <v>17</v>
      </c>
    </row>
    <row r="608" spans="1:15">
      <c r="A608">
        <v>11644</v>
      </c>
      <c r="B608" t="s">
        <v>64</v>
      </c>
      <c r="C608" t="s">
        <v>49</v>
      </c>
      <c r="D608" s="1">
        <v>40000</v>
      </c>
      <c r="E608" t="str" cm="1">
        <f t="array" ref="E608">_xlfn.IFS(D608&lt;40000,"Low Income",D608&lt;=80000,"Moderate Income",D608&gt;80000,"High Income")</f>
        <v>Moderate Income</v>
      </c>
      <c r="F608">
        <v>2</v>
      </c>
      <c r="G608" t="s">
        <v>15</v>
      </c>
      <c r="H608" t="s">
        <v>16</v>
      </c>
      <c r="I608" t="s">
        <v>17</v>
      </c>
      <c r="J608">
        <v>0</v>
      </c>
      <c r="K608" t="s">
        <v>24</v>
      </c>
      <c r="L608" t="s">
        <v>35</v>
      </c>
      <c r="M608">
        <v>36</v>
      </c>
      <c r="N608" t="str">
        <f t="shared" si="9"/>
        <v>Middle-Aged</v>
      </c>
      <c r="O608" t="s">
        <v>20</v>
      </c>
    </row>
    <row r="609" spans="1:15">
      <c r="A609">
        <v>16145</v>
      </c>
      <c r="B609" t="s">
        <v>64</v>
      </c>
      <c r="C609" t="s">
        <v>47</v>
      </c>
      <c r="D609" s="1">
        <v>70000</v>
      </c>
      <c r="E609" t="str" cm="1">
        <f t="array" ref="E609">_xlfn.IFS(D609&lt;40000,"Low Income",D609&lt;=80000,"Moderate Income",D609&gt;80000,"High Income")</f>
        <v>Moderate Income</v>
      </c>
      <c r="F609">
        <v>5</v>
      </c>
      <c r="G609" t="s">
        <v>34</v>
      </c>
      <c r="H609" t="s">
        <v>23</v>
      </c>
      <c r="I609" t="s">
        <v>17</v>
      </c>
      <c r="J609">
        <v>3</v>
      </c>
      <c r="K609" t="s">
        <v>61</v>
      </c>
      <c r="L609" t="s">
        <v>35</v>
      </c>
      <c r="M609">
        <v>46</v>
      </c>
      <c r="N609" t="str">
        <f t="shared" si="9"/>
        <v>Middle-Aged</v>
      </c>
      <c r="O609" t="s">
        <v>17</v>
      </c>
    </row>
    <row r="610" spans="1:15">
      <c r="A610">
        <v>16890</v>
      </c>
      <c r="B610" t="s">
        <v>63</v>
      </c>
      <c r="C610" t="s">
        <v>49</v>
      </c>
      <c r="D610" s="1">
        <v>60000</v>
      </c>
      <c r="E610" t="str" cm="1">
        <f t="array" ref="E610">_xlfn.IFS(D610&lt;40000,"Low Income",D610&lt;=80000,"Moderate Income",D610&gt;80000,"High Income")</f>
        <v>Moderate Income</v>
      </c>
      <c r="F610">
        <v>3</v>
      </c>
      <c r="G610" t="s">
        <v>32</v>
      </c>
      <c r="H610" t="s">
        <v>16</v>
      </c>
      <c r="I610" t="s">
        <v>17</v>
      </c>
      <c r="J610">
        <v>2</v>
      </c>
      <c r="K610" t="s">
        <v>26</v>
      </c>
      <c r="L610" t="s">
        <v>35</v>
      </c>
      <c r="M610">
        <v>52</v>
      </c>
      <c r="N610" t="str">
        <f t="shared" si="9"/>
        <v>Middle-Aged</v>
      </c>
      <c r="O610" t="s">
        <v>17</v>
      </c>
    </row>
    <row r="611" spans="1:15">
      <c r="A611">
        <v>25983</v>
      </c>
      <c r="B611" t="s">
        <v>63</v>
      </c>
      <c r="C611" t="s">
        <v>49</v>
      </c>
      <c r="D611" s="1">
        <v>70000</v>
      </c>
      <c r="E611" t="str" cm="1">
        <f t="array" ref="E611">_xlfn.IFS(D611&lt;40000,"Low Income",D611&lt;=80000,"Moderate Income",D611&gt;80000,"High Income")</f>
        <v>Moderate Income</v>
      </c>
      <c r="F611">
        <v>0</v>
      </c>
      <c r="G611" t="s">
        <v>15</v>
      </c>
      <c r="H611" t="s">
        <v>23</v>
      </c>
      <c r="I611" t="s">
        <v>20</v>
      </c>
      <c r="J611">
        <v>1</v>
      </c>
      <c r="K611" t="s">
        <v>18</v>
      </c>
      <c r="L611" t="s">
        <v>35</v>
      </c>
      <c r="M611">
        <v>43</v>
      </c>
      <c r="N611" t="str">
        <f t="shared" si="9"/>
        <v>Middle-Aged</v>
      </c>
      <c r="O611" t="s">
        <v>20</v>
      </c>
    </row>
    <row r="612" spans="1:15">
      <c r="A612">
        <v>14633</v>
      </c>
      <c r="B612" t="s">
        <v>63</v>
      </c>
      <c r="C612" t="s">
        <v>49</v>
      </c>
      <c r="D612" s="1">
        <v>60000</v>
      </c>
      <c r="E612" t="str" cm="1">
        <f t="array" ref="E612">_xlfn.IFS(D612&lt;40000,"Low Income",D612&lt;=80000,"Moderate Income",D612&gt;80000,"High Income")</f>
        <v>Moderate Income</v>
      </c>
      <c r="F612">
        <v>1</v>
      </c>
      <c r="G612" t="s">
        <v>21</v>
      </c>
      <c r="H612" t="s">
        <v>16</v>
      </c>
      <c r="I612" t="s">
        <v>17</v>
      </c>
      <c r="J612">
        <v>1</v>
      </c>
      <c r="K612" t="s">
        <v>24</v>
      </c>
      <c r="L612" t="s">
        <v>35</v>
      </c>
      <c r="M612">
        <v>44</v>
      </c>
      <c r="N612" t="str">
        <f t="shared" si="9"/>
        <v>Middle-Aged</v>
      </c>
      <c r="O612" t="s">
        <v>20</v>
      </c>
    </row>
    <row r="613" spans="1:15">
      <c r="A613">
        <v>22994</v>
      </c>
      <c r="B613" t="s">
        <v>63</v>
      </c>
      <c r="C613" t="s">
        <v>47</v>
      </c>
      <c r="D613" s="1">
        <v>80000</v>
      </c>
      <c r="E613" t="str" cm="1">
        <f t="array" ref="E613">_xlfn.IFS(D613&lt;40000,"Low Income",D613&lt;=80000,"Moderate Income",D613&gt;80000,"High Income")</f>
        <v>Moderate Income</v>
      </c>
      <c r="F613">
        <v>0</v>
      </c>
      <c r="G613" t="s">
        <v>15</v>
      </c>
      <c r="H613" t="s">
        <v>31</v>
      </c>
      <c r="I613" t="s">
        <v>17</v>
      </c>
      <c r="J613">
        <v>1</v>
      </c>
      <c r="K613" t="s">
        <v>29</v>
      </c>
      <c r="L613" t="s">
        <v>35</v>
      </c>
      <c r="M613">
        <v>34</v>
      </c>
      <c r="N613" t="str">
        <f t="shared" si="9"/>
        <v>Middle-Aged</v>
      </c>
      <c r="O613" t="s">
        <v>17</v>
      </c>
    </row>
    <row r="614" spans="1:15">
      <c r="A614">
        <v>22983</v>
      </c>
      <c r="B614" t="s">
        <v>64</v>
      </c>
      <c r="C614" t="s">
        <v>47</v>
      </c>
      <c r="D614" s="1">
        <v>30000</v>
      </c>
      <c r="E614" t="str" cm="1">
        <f t="array" ref="E614">_xlfn.IFS(D614&lt;40000,"Low Income",D614&lt;=80000,"Moderate Income",D614&gt;80000,"High Income")</f>
        <v>Low Income</v>
      </c>
      <c r="F614">
        <v>0</v>
      </c>
      <c r="G614" t="s">
        <v>32</v>
      </c>
      <c r="H614" t="s">
        <v>22</v>
      </c>
      <c r="I614" t="s">
        <v>17</v>
      </c>
      <c r="J614">
        <v>2</v>
      </c>
      <c r="K614" t="s">
        <v>26</v>
      </c>
      <c r="L614" t="s">
        <v>35</v>
      </c>
      <c r="M614">
        <v>27</v>
      </c>
      <c r="N614" t="str">
        <f t="shared" si="9"/>
        <v>Young Adults</v>
      </c>
      <c r="O614" t="s">
        <v>20</v>
      </c>
    </row>
    <row r="615" spans="1:15">
      <c r="A615">
        <v>25184</v>
      </c>
      <c r="B615" t="s">
        <v>64</v>
      </c>
      <c r="C615" t="s">
        <v>49</v>
      </c>
      <c r="D615" s="1">
        <v>110000</v>
      </c>
      <c r="E615" t="str" cm="1">
        <f t="array" ref="E615">_xlfn.IFS(D615&lt;40000,"Low Income",D615&lt;=80000,"Moderate Income",D615&gt;80000,"High Income")</f>
        <v>High Income</v>
      </c>
      <c r="F615">
        <v>1</v>
      </c>
      <c r="G615" t="s">
        <v>21</v>
      </c>
      <c r="H615" t="s">
        <v>23</v>
      </c>
      <c r="I615" t="s">
        <v>17</v>
      </c>
      <c r="J615">
        <v>4</v>
      </c>
      <c r="K615" t="s">
        <v>26</v>
      </c>
      <c r="L615" t="s">
        <v>35</v>
      </c>
      <c r="M615">
        <v>45</v>
      </c>
      <c r="N615" t="str">
        <f t="shared" si="9"/>
        <v>Middle-Aged</v>
      </c>
      <c r="O615" t="s">
        <v>17</v>
      </c>
    </row>
    <row r="616" spans="1:15">
      <c r="A616">
        <v>14469</v>
      </c>
      <c r="B616" t="s">
        <v>63</v>
      </c>
      <c r="C616" t="s">
        <v>47</v>
      </c>
      <c r="D616" s="1">
        <v>100000</v>
      </c>
      <c r="E616" t="str" cm="1">
        <f t="array" ref="E616">_xlfn.IFS(D616&lt;40000,"Low Income",D616&lt;=80000,"Moderate Income",D616&gt;80000,"High Income")</f>
        <v>High Income</v>
      </c>
      <c r="F616">
        <v>3</v>
      </c>
      <c r="G616" t="s">
        <v>21</v>
      </c>
      <c r="H616" t="s">
        <v>23</v>
      </c>
      <c r="I616" t="s">
        <v>17</v>
      </c>
      <c r="J616">
        <v>4</v>
      </c>
      <c r="K616" t="s">
        <v>29</v>
      </c>
      <c r="L616" t="s">
        <v>35</v>
      </c>
      <c r="M616">
        <v>45</v>
      </c>
      <c r="N616" t="str">
        <f t="shared" si="9"/>
        <v>Middle-Aged</v>
      </c>
      <c r="O616" t="s">
        <v>20</v>
      </c>
    </row>
    <row r="617" spans="1:15">
      <c r="A617">
        <v>11538</v>
      </c>
      <c r="B617" t="s">
        <v>64</v>
      </c>
      <c r="C617" t="s">
        <v>47</v>
      </c>
      <c r="D617" s="1">
        <v>60000</v>
      </c>
      <c r="E617" t="str" cm="1">
        <f t="array" ref="E617">_xlfn.IFS(D617&lt;40000,"Low Income",D617&lt;=80000,"Moderate Income",D617&gt;80000,"High Income")</f>
        <v>Moderate Income</v>
      </c>
      <c r="F617">
        <v>4</v>
      </c>
      <c r="G617" t="s">
        <v>34</v>
      </c>
      <c r="H617" t="s">
        <v>16</v>
      </c>
      <c r="I617" t="s">
        <v>20</v>
      </c>
      <c r="J617">
        <v>0</v>
      </c>
      <c r="K617" t="s">
        <v>18</v>
      </c>
      <c r="L617" t="s">
        <v>35</v>
      </c>
      <c r="M617">
        <v>47</v>
      </c>
      <c r="N617" t="str">
        <f t="shared" si="9"/>
        <v>Middle-Aged</v>
      </c>
      <c r="O617" t="s">
        <v>17</v>
      </c>
    </row>
    <row r="618" spans="1:15">
      <c r="A618">
        <v>16245</v>
      </c>
      <c r="B618" t="s">
        <v>64</v>
      </c>
      <c r="C618" t="s">
        <v>47</v>
      </c>
      <c r="D618" s="1">
        <v>80000</v>
      </c>
      <c r="E618" t="str" cm="1">
        <f t="array" ref="E618">_xlfn.IFS(D618&lt;40000,"Low Income",D618&lt;=80000,"Moderate Income",D618&gt;80000,"High Income")</f>
        <v>Moderate Income</v>
      </c>
      <c r="F618">
        <v>4</v>
      </c>
      <c r="G618" t="s">
        <v>34</v>
      </c>
      <c r="H618" t="s">
        <v>16</v>
      </c>
      <c r="I618" t="s">
        <v>17</v>
      </c>
      <c r="J618">
        <v>0</v>
      </c>
      <c r="K618" t="s">
        <v>29</v>
      </c>
      <c r="L618" t="s">
        <v>35</v>
      </c>
      <c r="M618">
        <v>47</v>
      </c>
      <c r="N618" t="str">
        <f t="shared" si="9"/>
        <v>Middle-Aged</v>
      </c>
      <c r="O618" t="s">
        <v>20</v>
      </c>
    </row>
    <row r="619" spans="1:15">
      <c r="A619">
        <v>17858</v>
      </c>
      <c r="B619" t="s">
        <v>63</v>
      </c>
      <c r="C619" t="s">
        <v>49</v>
      </c>
      <c r="D619" s="1">
        <v>40000</v>
      </c>
      <c r="E619" t="str" cm="1">
        <f t="array" ref="E619">_xlfn.IFS(D619&lt;40000,"Low Income",D619&lt;=80000,"Moderate Income",D619&gt;80000,"High Income")</f>
        <v>Moderate Income</v>
      </c>
      <c r="F619">
        <v>4</v>
      </c>
      <c r="G619" t="s">
        <v>30</v>
      </c>
      <c r="H619" t="s">
        <v>16</v>
      </c>
      <c r="I619" t="s">
        <v>17</v>
      </c>
      <c r="J619">
        <v>2</v>
      </c>
      <c r="K619" t="s">
        <v>24</v>
      </c>
      <c r="L619" t="s">
        <v>35</v>
      </c>
      <c r="M619">
        <v>44</v>
      </c>
      <c r="N619" t="str">
        <f t="shared" si="9"/>
        <v>Middle-Aged</v>
      </c>
      <c r="O619" t="s">
        <v>17</v>
      </c>
    </row>
    <row r="620" spans="1:15">
      <c r="A620">
        <v>25347</v>
      </c>
      <c r="B620" t="s">
        <v>64</v>
      </c>
      <c r="C620" t="s">
        <v>47</v>
      </c>
      <c r="D620" s="1">
        <v>20000</v>
      </c>
      <c r="E620" t="str" cm="1">
        <f t="array" ref="E620">_xlfn.IFS(D620&lt;40000,"Low Income",D620&lt;=80000,"Moderate Income",D620&gt;80000,"High Income")</f>
        <v>Low Income</v>
      </c>
      <c r="F620">
        <v>3</v>
      </c>
      <c r="G620" t="s">
        <v>32</v>
      </c>
      <c r="H620" t="s">
        <v>22</v>
      </c>
      <c r="I620" t="s">
        <v>20</v>
      </c>
      <c r="J620">
        <v>2</v>
      </c>
      <c r="K620" t="s">
        <v>18</v>
      </c>
      <c r="L620" t="s">
        <v>35</v>
      </c>
      <c r="M620">
        <v>49</v>
      </c>
      <c r="N620" t="str">
        <f t="shared" si="9"/>
        <v>Middle-Aged</v>
      </c>
      <c r="O620" t="s">
        <v>20</v>
      </c>
    </row>
    <row r="621" spans="1:15">
      <c r="A621">
        <v>15814</v>
      </c>
      <c r="B621" t="s">
        <v>64</v>
      </c>
      <c r="C621" t="s">
        <v>47</v>
      </c>
      <c r="D621" s="1">
        <v>40000</v>
      </c>
      <c r="E621" t="str" cm="1">
        <f t="array" ref="E621">_xlfn.IFS(D621&lt;40000,"Low Income",D621&lt;=80000,"Moderate Income",D621&gt;80000,"High Income")</f>
        <v>Moderate Income</v>
      </c>
      <c r="F621">
        <v>0</v>
      </c>
      <c r="G621" t="s">
        <v>30</v>
      </c>
      <c r="H621" t="s">
        <v>16</v>
      </c>
      <c r="I621" t="s">
        <v>17</v>
      </c>
      <c r="J621">
        <v>1</v>
      </c>
      <c r="K621" t="s">
        <v>26</v>
      </c>
      <c r="L621" t="s">
        <v>35</v>
      </c>
      <c r="M621">
        <v>30</v>
      </c>
      <c r="N621" t="str">
        <f t="shared" si="9"/>
        <v>Young Adults</v>
      </c>
      <c r="O621" t="s">
        <v>20</v>
      </c>
    </row>
    <row r="622" spans="1:15">
      <c r="A622">
        <v>11259</v>
      </c>
      <c r="B622" t="s">
        <v>63</v>
      </c>
      <c r="C622" t="s">
        <v>47</v>
      </c>
      <c r="D622" s="1">
        <v>100000</v>
      </c>
      <c r="E622" t="str" cm="1">
        <f t="array" ref="E622">_xlfn.IFS(D622&lt;40000,"Low Income",D622&lt;=80000,"Moderate Income",D622&gt;80000,"High Income")</f>
        <v>High Income</v>
      </c>
      <c r="F622">
        <v>4</v>
      </c>
      <c r="G622" t="s">
        <v>21</v>
      </c>
      <c r="H622" t="s">
        <v>23</v>
      </c>
      <c r="I622" t="s">
        <v>17</v>
      </c>
      <c r="J622">
        <v>4</v>
      </c>
      <c r="K622" t="s">
        <v>24</v>
      </c>
      <c r="L622" t="s">
        <v>35</v>
      </c>
      <c r="M622">
        <v>41</v>
      </c>
      <c r="N622" t="str">
        <f t="shared" si="9"/>
        <v>Middle-Aged</v>
      </c>
      <c r="O622" t="s">
        <v>17</v>
      </c>
    </row>
    <row r="623" spans="1:15">
      <c r="A623">
        <v>11200</v>
      </c>
      <c r="B623" t="s">
        <v>63</v>
      </c>
      <c r="C623" t="s">
        <v>49</v>
      </c>
      <c r="D623" s="1">
        <v>70000</v>
      </c>
      <c r="E623" t="str" cm="1">
        <f t="array" ref="E623">_xlfn.IFS(D623&lt;40000,"Low Income",D623&lt;=80000,"Moderate Income",D623&gt;80000,"High Income")</f>
        <v>Moderate Income</v>
      </c>
      <c r="F623">
        <v>4</v>
      </c>
      <c r="G623" t="s">
        <v>15</v>
      </c>
      <c r="H623" t="s">
        <v>31</v>
      </c>
      <c r="I623" t="s">
        <v>17</v>
      </c>
      <c r="J623">
        <v>1</v>
      </c>
      <c r="K623" t="s">
        <v>29</v>
      </c>
      <c r="L623" t="s">
        <v>35</v>
      </c>
      <c r="M623">
        <v>58</v>
      </c>
      <c r="N623" t="str">
        <f t="shared" si="9"/>
        <v>Middle-Aged</v>
      </c>
      <c r="O623" t="s">
        <v>20</v>
      </c>
    </row>
    <row r="624" spans="1:15">
      <c r="A624">
        <v>25101</v>
      </c>
      <c r="B624" t="s">
        <v>63</v>
      </c>
      <c r="C624" t="s">
        <v>49</v>
      </c>
      <c r="D624" s="1">
        <v>60000</v>
      </c>
      <c r="E624" t="str" cm="1">
        <f t="array" ref="E624">_xlfn.IFS(D624&lt;40000,"Low Income",D624&lt;=80000,"Moderate Income",D624&gt;80000,"High Income")</f>
        <v>Moderate Income</v>
      </c>
      <c r="F624">
        <v>5</v>
      </c>
      <c r="G624" t="s">
        <v>15</v>
      </c>
      <c r="H624" t="s">
        <v>23</v>
      </c>
      <c r="I624" t="s">
        <v>17</v>
      </c>
      <c r="J624">
        <v>1</v>
      </c>
      <c r="K624" t="s">
        <v>24</v>
      </c>
      <c r="L624" t="s">
        <v>35</v>
      </c>
      <c r="M624">
        <v>47</v>
      </c>
      <c r="N624" t="str">
        <f t="shared" si="9"/>
        <v>Middle-Aged</v>
      </c>
      <c r="O624" t="s">
        <v>20</v>
      </c>
    </row>
    <row r="625" spans="1:15">
      <c r="A625">
        <v>21801</v>
      </c>
      <c r="B625" t="s">
        <v>63</v>
      </c>
      <c r="C625" t="s">
        <v>47</v>
      </c>
      <c r="D625" s="1">
        <v>70000</v>
      </c>
      <c r="E625" t="str" cm="1">
        <f t="array" ref="E625">_xlfn.IFS(D625&lt;40000,"Low Income",D625&lt;=80000,"Moderate Income",D625&gt;80000,"High Income")</f>
        <v>Moderate Income</v>
      </c>
      <c r="F625">
        <v>4</v>
      </c>
      <c r="G625" t="s">
        <v>21</v>
      </c>
      <c r="H625" t="s">
        <v>23</v>
      </c>
      <c r="I625" t="s">
        <v>17</v>
      </c>
      <c r="J625">
        <v>1</v>
      </c>
      <c r="K625" t="s">
        <v>29</v>
      </c>
      <c r="L625" t="s">
        <v>35</v>
      </c>
      <c r="M625">
        <v>55</v>
      </c>
      <c r="N625" t="str">
        <f t="shared" si="9"/>
        <v>Middle-Aged</v>
      </c>
      <c r="O625" t="s">
        <v>20</v>
      </c>
    </row>
    <row r="626" spans="1:15">
      <c r="A626">
        <v>25943</v>
      </c>
      <c r="B626" t="s">
        <v>64</v>
      </c>
      <c r="C626" t="s">
        <v>47</v>
      </c>
      <c r="D626" s="1">
        <v>70000</v>
      </c>
      <c r="E626" t="str" cm="1">
        <f t="array" ref="E626">_xlfn.IFS(D626&lt;40000,"Low Income",D626&lt;=80000,"Moderate Income",D626&gt;80000,"High Income")</f>
        <v>Moderate Income</v>
      </c>
      <c r="F626">
        <v>0</v>
      </c>
      <c r="G626" t="s">
        <v>21</v>
      </c>
      <c r="H626" t="s">
        <v>16</v>
      </c>
      <c r="I626" t="s">
        <v>20</v>
      </c>
      <c r="J626">
        <v>2</v>
      </c>
      <c r="K626" t="s">
        <v>18</v>
      </c>
      <c r="L626" t="s">
        <v>35</v>
      </c>
      <c r="M626">
        <v>27</v>
      </c>
      <c r="N626" t="str">
        <f t="shared" si="9"/>
        <v>Young Adults</v>
      </c>
      <c r="O626" t="s">
        <v>17</v>
      </c>
    </row>
    <row r="627" spans="1:15">
      <c r="A627">
        <v>22127</v>
      </c>
      <c r="B627" t="s">
        <v>63</v>
      </c>
      <c r="C627" t="s">
        <v>49</v>
      </c>
      <c r="D627" s="1">
        <v>60000</v>
      </c>
      <c r="E627" t="str" cm="1">
        <f t="array" ref="E627">_xlfn.IFS(D627&lt;40000,"Low Income",D627&lt;=80000,"Moderate Income",D627&gt;80000,"High Income")</f>
        <v>Moderate Income</v>
      </c>
      <c r="F627">
        <v>3</v>
      </c>
      <c r="G627" t="s">
        <v>34</v>
      </c>
      <c r="H627" t="s">
        <v>31</v>
      </c>
      <c r="I627" t="s">
        <v>17</v>
      </c>
      <c r="J627">
        <v>2</v>
      </c>
      <c r="K627" t="s">
        <v>29</v>
      </c>
      <c r="L627" t="s">
        <v>35</v>
      </c>
      <c r="M627">
        <v>67</v>
      </c>
      <c r="N627" t="str">
        <f t="shared" si="9"/>
        <v>Seniors</v>
      </c>
      <c r="O627" t="s">
        <v>20</v>
      </c>
    </row>
    <row r="628" spans="1:15">
      <c r="A628">
        <v>20414</v>
      </c>
      <c r="B628" t="s">
        <v>63</v>
      </c>
      <c r="C628" t="s">
        <v>47</v>
      </c>
      <c r="D628" s="1">
        <v>60000</v>
      </c>
      <c r="E628" t="str" cm="1">
        <f t="array" ref="E628">_xlfn.IFS(D628&lt;40000,"Low Income",D628&lt;=80000,"Moderate Income",D628&gt;80000,"High Income")</f>
        <v>Moderate Income</v>
      </c>
      <c r="F628">
        <v>0</v>
      </c>
      <c r="G628" t="s">
        <v>21</v>
      </c>
      <c r="H628" t="s">
        <v>16</v>
      </c>
      <c r="I628" t="s">
        <v>17</v>
      </c>
      <c r="J628">
        <v>2</v>
      </c>
      <c r="K628" t="s">
        <v>26</v>
      </c>
      <c r="L628" t="s">
        <v>35</v>
      </c>
      <c r="M628">
        <v>29</v>
      </c>
      <c r="N628" t="str">
        <f t="shared" si="9"/>
        <v>Young Adults</v>
      </c>
      <c r="O628" t="s">
        <v>20</v>
      </c>
    </row>
    <row r="629" spans="1:15">
      <c r="A629">
        <v>23672</v>
      </c>
      <c r="B629" t="s">
        <v>63</v>
      </c>
      <c r="C629" t="s">
        <v>47</v>
      </c>
      <c r="D629" s="1">
        <v>60000</v>
      </c>
      <c r="E629" t="str" cm="1">
        <f t="array" ref="E629">_xlfn.IFS(D629&lt;40000,"Low Income",D629&lt;=80000,"Moderate Income",D629&gt;80000,"High Income")</f>
        <v>Moderate Income</v>
      </c>
      <c r="F629">
        <v>3</v>
      </c>
      <c r="G629" t="s">
        <v>34</v>
      </c>
      <c r="H629" t="s">
        <v>31</v>
      </c>
      <c r="I629" t="s">
        <v>17</v>
      </c>
      <c r="J629">
        <v>2</v>
      </c>
      <c r="K629" t="s">
        <v>29</v>
      </c>
      <c r="L629" t="s">
        <v>35</v>
      </c>
      <c r="M629">
        <v>67</v>
      </c>
      <c r="N629" t="str">
        <f t="shared" si="9"/>
        <v>Seniors</v>
      </c>
      <c r="O629" t="s">
        <v>20</v>
      </c>
    </row>
    <row r="630" spans="1:15">
      <c r="A630">
        <v>29255</v>
      </c>
      <c r="B630" t="s">
        <v>64</v>
      </c>
      <c r="C630" t="s">
        <v>49</v>
      </c>
      <c r="D630" s="1">
        <v>80000</v>
      </c>
      <c r="E630" t="str" cm="1">
        <f t="array" ref="E630">_xlfn.IFS(D630&lt;40000,"Low Income",D630&lt;=80000,"Moderate Income",D630&gt;80000,"High Income")</f>
        <v>Moderate Income</v>
      </c>
      <c r="F630">
        <v>3</v>
      </c>
      <c r="G630" t="s">
        <v>21</v>
      </c>
      <c r="H630" t="s">
        <v>23</v>
      </c>
      <c r="I630" t="s">
        <v>20</v>
      </c>
      <c r="J630">
        <v>1</v>
      </c>
      <c r="K630" t="s">
        <v>29</v>
      </c>
      <c r="L630" t="s">
        <v>35</v>
      </c>
      <c r="M630">
        <v>51</v>
      </c>
      <c r="N630" t="str">
        <f t="shared" si="9"/>
        <v>Middle-Aged</v>
      </c>
      <c r="O630" t="s">
        <v>17</v>
      </c>
    </row>
    <row r="631" spans="1:15">
      <c r="A631">
        <v>28815</v>
      </c>
      <c r="B631" t="s">
        <v>63</v>
      </c>
      <c r="C631" t="s">
        <v>47</v>
      </c>
      <c r="D631" s="1">
        <v>50000</v>
      </c>
      <c r="E631" t="str" cm="1">
        <f t="array" ref="E631">_xlfn.IFS(D631&lt;40000,"Low Income",D631&lt;=80000,"Moderate Income",D631&gt;80000,"High Income")</f>
        <v>Moderate Income</v>
      </c>
      <c r="F631">
        <v>1</v>
      </c>
      <c r="G631" t="s">
        <v>34</v>
      </c>
      <c r="H631" t="s">
        <v>16</v>
      </c>
      <c r="I631" t="s">
        <v>17</v>
      </c>
      <c r="J631">
        <v>0</v>
      </c>
      <c r="K631" t="s">
        <v>18</v>
      </c>
      <c r="L631" t="s">
        <v>35</v>
      </c>
      <c r="M631">
        <v>35</v>
      </c>
      <c r="N631" t="str">
        <f t="shared" si="9"/>
        <v>Middle-Aged</v>
      </c>
      <c r="O631" t="s">
        <v>20</v>
      </c>
    </row>
    <row r="632" spans="1:15">
      <c r="A632">
        <v>27753</v>
      </c>
      <c r="B632" t="s">
        <v>63</v>
      </c>
      <c r="C632" t="s">
        <v>49</v>
      </c>
      <c r="D632" s="1">
        <v>40000</v>
      </c>
      <c r="E632" t="str" cm="1">
        <f t="array" ref="E632">_xlfn.IFS(D632&lt;40000,"Low Income",D632&lt;=80000,"Moderate Income",D632&gt;80000,"High Income")</f>
        <v>Moderate Income</v>
      </c>
      <c r="F632">
        <v>0</v>
      </c>
      <c r="G632" t="s">
        <v>30</v>
      </c>
      <c r="H632" t="s">
        <v>16</v>
      </c>
      <c r="I632" t="s">
        <v>20</v>
      </c>
      <c r="J632">
        <v>2</v>
      </c>
      <c r="K632" t="s">
        <v>29</v>
      </c>
      <c r="L632" t="s">
        <v>35</v>
      </c>
      <c r="M632">
        <v>30</v>
      </c>
      <c r="N632" t="str">
        <f t="shared" si="9"/>
        <v>Young Adults</v>
      </c>
      <c r="O632" t="s">
        <v>20</v>
      </c>
    </row>
    <row r="633" spans="1:15">
      <c r="A633">
        <v>27643</v>
      </c>
      <c r="B633" t="s">
        <v>64</v>
      </c>
      <c r="C633" t="s">
        <v>49</v>
      </c>
      <c r="D633" s="1">
        <v>70000</v>
      </c>
      <c r="E633" t="str" cm="1">
        <f t="array" ref="E633">_xlfn.IFS(D633&lt;40000,"Low Income",D633&lt;=80000,"Moderate Income",D633&gt;80000,"High Income")</f>
        <v>Moderate Income</v>
      </c>
      <c r="F633">
        <v>5</v>
      </c>
      <c r="G633" t="s">
        <v>21</v>
      </c>
      <c r="H633" t="s">
        <v>23</v>
      </c>
      <c r="I633" t="s">
        <v>17</v>
      </c>
      <c r="J633">
        <v>3</v>
      </c>
      <c r="K633" t="s">
        <v>24</v>
      </c>
      <c r="L633" t="s">
        <v>35</v>
      </c>
      <c r="M633">
        <v>44</v>
      </c>
      <c r="N633" t="str">
        <f t="shared" si="9"/>
        <v>Middle-Aged</v>
      </c>
      <c r="O633" t="s">
        <v>20</v>
      </c>
    </row>
    <row r="634" spans="1:15">
      <c r="A634">
        <v>13754</v>
      </c>
      <c r="B634" t="s">
        <v>64</v>
      </c>
      <c r="C634" t="s">
        <v>47</v>
      </c>
      <c r="D634" s="1">
        <v>80000</v>
      </c>
      <c r="E634" t="str" cm="1">
        <f t="array" ref="E634">_xlfn.IFS(D634&lt;40000,"Low Income",D634&lt;=80000,"Moderate Income",D634&gt;80000,"High Income")</f>
        <v>Moderate Income</v>
      </c>
      <c r="F634">
        <v>4</v>
      </c>
      <c r="G634" t="s">
        <v>34</v>
      </c>
      <c r="H634" t="s">
        <v>16</v>
      </c>
      <c r="I634" t="s">
        <v>17</v>
      </c>
      <c r="J634">
        <v>0</v>
      </c>
      <c r="K634" t="s">
        <v>29</v>
      </c>
      <c r="L634" t="s">
        <v>35</v>
      </c>
      <c r="M634">
        <v>48</v>
      </c>
      <c r="N634" t="str">
        <f t="shared" si="9"/>
        <v>Middle-Aged</v>
      </c>
      <c r="O634" t="s">
        <v>20</v>
      </c>
    </row>
    <row r="635" spans="1:15">
      <c r="A635">
        <v>22088</v>
      </c>
      <c r="B635" t="s">
        <v>63</v>
      </c>
      <c r="C635" t="s">
        <v>47</v>
      </c>
      <c r="D635" s="1">
        <v>130000</v>
      </c>
      <c r="E635" t="str" cm="1">
        <f t="array" ref="E635">_xlfn.IFS(D635&lt;40000,"Low Income",D635&lt;=80000,"Moderate Income",D635&gt;80000,"High Income")</f>
        <v>High Income</v>
      </c>
      <c r="F635">
        <v>1</v>
      </c>
      <c r="G635" t="s">
        <v>15</v>
      </c>
      <c r="H635" t="s">
        <v>31</v>
      </c>
      <c r="I635" t="s">
        <v>17</v>
      </c>
      <c r="J635">
        <v>2</v>
      </c>
      <c r="K635" t="s">
        <v>18</v>
      </c>
      <c r="L635" t="s">
        <v>35</v>
      </c>
      <c r="M635">
        <v>45</v>
      </c>
      <c r="N635" t="str">
        <f t="shared" si="9"/>
        <v>Middle-Aged</v>
      </c>
      <c r="O635" t="s">
        <v>17</v>
      </c>
    </row>
    <row r="636" spans="1:15">
      <c r="A636">
        <v>27388</v>
      </c>
      <c r="B636" t="s">
        <v>63</v>
      </c>
      <c r="C636" t="s">
        <v>49</v>
      </c>
      <c r="D636" s="1">
        <v>60000</v>
      </c>
      <c r="E636" t="str" cm="1">
        <f t="array" ref="E636">_xlfn.IFS(D636&lt;40000,"Low Income",D636&lt;=80000,"Moderate Income",D636&gt;80000,"High Income")</f>
        <v>Moderate Income</v>
      </c>
      <c r="F636">
        <v>3</v>
      </c>
      <c r="G636" t="s">
        <v>15</v>
      </c>
      <c r="H636" t="s">
        <v>31</v>
      </c>
      <c r="I636" t="s">
        <v>20</v>
      </c>
      <c r="J636">
        <v>2</v>
      </c>
      <c r="K636" t="s">
        <v>29</v>
      </c>
      <c r="L636" t="s">
        <v>35</v>
      </c>
      <c r="M636">
        <v>66</v>
      </c>
      <c r="N636" t="str">
        <f t="shared" si="9"/>
        <v>Seniors</v>
      </c>
      <c r="O636" t="s">
        <v>20</v>
      </c>
    </row>
    <row r="637" spans="1:15">
      <c r="A637">
        <v>24745</v>
      </c>
      <c r="B637" t="s">
        <v>64</v>
      </c>
      <c r="C637" t="s">
        <v>47</v>
      </c>
      <c r="D637" s="1">
        <v>30000</v>
      </c>
      <c r="E637" t="str" cm="1">
        <f t="array" ref="E637">_xlfn.IFS(D637&lt;40000,"Low Income",D637&lt;=80000,"Moderate Income",D637&gt;80000,"High Income")</f>
        <v>Low Income</v>
      </c>
      <c r="F637">
        <v>2</v>
      </c>
      <c r="G637" t="s">
        <v>30</v>
      </c>
      <c r="H637" t="s">
        <v>16</v>
      </c>
      <c r="I637" t="s">
        <v>20</v>
      </c>
      <c r="J637">
        <v>2</v>
      </c>
      <c r="K637" t="s">
        <v>18</v>
      </c>
      <c r="L637" t="s">
        <v>35</v>
      </c>
      <c r="M637">
        <v>49</v>
      </c>
      <c r="N637" t="str">
        <f t="shared" si="9"/>
        <v>Middle-Aged</v>
      </c>
      <c r="O637" t="s">
        <v>20</v>
      </c>
    </row>
    <row r="638" spans="1:15">
      <c r="A638">
        <v>29237</v>
      </c>
      <c r="B638" t="s">
        <v>64</v>
      </c>
      <c r="C638" t="s">
        <v>47</v>
      </c>
      <c r="D638" s="1">
        <v>120000</v>
      </c>
      <c r="E638" t="str" cm="1">
        <f t="array" ref="E638">_xlfn.IFS(D638&lt;40000,"Low Income",D638&lt;=80000,"Moderate Income",D638&gt;80000,"High Income")</f>
        <v>High Income</v>
      </c>
      <c r="F638">
        <v>4</v>
      </c>
      <c r="G638" t="s">
        <v>21</v>
      </c>
      <c r="H638" t="s">
        <v>23</v>
      </c>
      <c r="I638" t="s">
        <v>17</v>
      </c>
      <c r="J638">
        <v>3</v>
      </c>
      <c r="K638" t="s">
        <v>26</v>
      </c>
      <c r="L638" t="s">
        <v>35</v>
      </c>
      <c r="M638">
        <v>43</v>
      </c>
      <c r="N638" t="str">
        <f t="shared" si="9"/>
        <v>Middle-Aged</v>
      </c>
      <c r="O638" t="s">
        <v>17</v>
      </c>
    </row>
    <row r="639" spans="1:15">
      <c r="A639">
        <v>15272</v>
      </c>
      <c r="B639" t="s">
        <v>64</v>
      </c>
      <c r="C639" t="s">
        <v>49</v>
      </c>
      <c r="D639" s="1">
        <v>40000</v>
      </c>
      <c r="E639" t="str" cm="1">
        <f t="array" ref="E639">_xlfn.IFS(D639&lt;40000,"Low Income",D639&lt;=80000,"Moderate Income",D639&gt;80000,"High Income")</f>
        <v>Moderate Income</v>
      </c>
      <c r="F639">
        <v>0</v>
      </c>
      <c r="G639" t="s">
        <v>30</v>
      </c>
      <c r="H639" t="s">
        <v>16</v>
      </c>
      <c r="I639" t="s">
        <v>20</v>
      </c>
      <c r="J639">
        <v>2</v>
      </c>
      <c r="K639" t="s">
        <v>29</v>
      </c>
      <c r="L639" t="s">
        <v>35</v>
      </c>
      <c r="M639">
        <v>30</v>
      </c>
      <c r="N639" t="str">
        <f t="shared" si="9"/>
        <v>Young Adults</v>
      </c>
      <c r="O639" t="s">
        <v>20</v>
      </c>
    </row>
    <row r="640" spans="1:15">
      <c r="A640">
        <v>18949</v>
      </c>
      <c r="B640" t="s">
        <v>64</v>
      </c>
      <c r="C640" t="s">
        <v>49</v>
      </c>
      <c r="D640" s="1">
        <v>70000</v>
      </c>
      <c r="E640" t="str" cm="1">
        <f t="array" ref="E640">_xlfn.IFS(D640&lt;40000,"Low Income",D640&lt;=80000,"Moderate Income",D640&gt;80000,"High Income")</f>
        <v>Moderate Income</v>
      </c>
      <c r="F640">
        <v>0</v>
      </c>
      <c r="G640" t="s">
        <v>34</v>
      </c>
      <c r="H640" t="s">
        <v>31</v>
      </c>
      <c r="I640" t="s">
        <v>17</v>
      </c>
      <c r="J640">
        <v>2</v>
      </c>
      <c r="K640" t="s">
        <v>26</v>
      </c>
      <c r="L640" t="s">
        <v>35</v>
      </c>
      <c r="M640">
        <v>74</v>
      </c>
      <c r="N640" t="str">
        <f t="shared" si="9"/>
        <v>Seniors</v>
      </c>
      <c r="O640" t="s">
        <v>17</v>
      </c>
    </row>
    <row r="641" spans="1:15">
      <c r="A641">
        <v>14507</v>
      </c>
      <c r="B641" t="s">
        <v>63</v>
      </c>
      <c r="C641" t="s">
        <v>49</v>
      </c>
      <c r="D641" s="1">
        <v>100000</v>
      </c>
      <c r="E641" t="str" cm="1">
        <f t="array" ref="E641">_xlfn.IFS(D641&lt;40000,"Low Income",D641&lt;=80000,"Moderate Income",D641&gt;80000,"High Income")</f>
        <v>High Income</v>
      </c>
      <c r="F641">
        <v>2</v>
      </c>
      <c r="G641" t="s">
        <v>34</v>
      </c>
      <c r="H641" t="s">
        <v>31</v>
      </c>
      <c r="I641" t="s">
        <v>17</v>
      </c>
      <c r="J641">
        <v>3</v>
      </c>
      <c r="K641" t="s">
        <v>29</v>
      </c>
      <c r="L641" t="s">
        <v>35</v>
      </c>
      <c r="M641">
        <v>65</v>
      </c>
      <c r="N641" t="str">
        <f t="shared" si="9"/>
        <v>Seniors</v>
      </c>
      <c r="O641" t="s">
        <v>20</v>
      </c>
    </row>
    <row r="642" spans="1:15">
      <c r="A642">
        <v>25886</v>
      </c>
      <c r="B642" t="s">
        <v>63</v>
      </c>
      <c r="C642" t="s">
        <v>47</v>
      </c>
      <c r="D642" s="1">
        <v>60000</v>
      </c>
      <c r="E642" t="str" cm="1">
        <f t="array" ref="E642">_xlfn.IFS(D642&lt;40000,"Low Income",D642&lt;=80000,"Moderate Income",D642&gt;80000,"High Income")</f>
        <v>Moderate Income</v>
      </c>
      <c r="F642">
        <v>2</v>
      </c>
      <c r="G642" t="s">
        <v>21</v>
      </c>
      <c r="H642" t="s">
        <v>23</v>
      </c>
      <c r="I642" t="s">
        <v>17</v>
      </c>
      <c r="J642">
        <v>2</v>
      </c>
      <c r="K642" t="s">
        <v>24</v>
      </c>
      <c r="L642" t="s">
        <v>35</v>
      </c>
      <c r="M642">
        <v>56</v>
      </c>
      <c r="N642" t="str">
        <f t="shared" si="9"/>
        <v>Middle-Aged</v>
      </c>
      <c r="O642" t="s">
        <v>17</v>
      </c>
    </row>
    <row r="643" spans="1:15">
      <c r="A643">
        <v>21441</v>
      </c>
      <c r="B643" t="s">
        <v>63</v>
      </c>
      <c r="C643" t="s">
        <v>49</v>
      </c>
      <c r="D643" s="1">
        <v>50000</v>
      </c>
      <c r="E643" t="str" cm="1">
        <f t="array" ref="E643">_xlfn.IFS(D643&lt;40000,"Low Income",D643&lt;=80000,"Moderate Income",D643&gt;80000,"High Income")</f>
        <v>Moderate Income</v>
      </c>
      <c r="F643">
        <v>4</v>
      </c>
      <c r="G643" t="s">
        <v>15</v>
      </c>
      <c r="H643" t="s">
        <v>31</v>
      </c>
      <c r="I643" t="s">
        <v>17</v>
      </c>
      <c r="J643">
        <v>2</v>
      </c>
      <c r="K643" t="s">
        <v>61</v>
      </c>
      <c r="L643" t="s">
        <v>35</v>
      </c>
      <c r="M643">
        <v>64</v>
      </c>
      <c r="N643" t="str">
        <f t="shared" ref="N643:N706" si="10">IF(M643&gt;=60,"Seniors",IF(M643&gt;30,"Middle-Aged",IF(M643&lt;=30,"Young Adults")))</f>
        <v>Seniors</v>
      </c>
      <c r="O643" t="s">
        <v>20</v>
      </c>
    </row>
    <row r="644" spans="1:15">
      <c r="A644">
        <v>21741</v>
      </c>
      <c r="B644" t="s">
        <v>63</v>
      </c>
      <c r="C644" t="s">
        <v>47</v>
      </c>
      <c r="D644" s="1">
        <v>70000</v>
      </c>
      <c r="E644" t="str" cm="1">
        <f t="array" ref="E644">_xlfn.IFS(D644&lt;40000,"Low Income",D644&lt;=80000,"Moderate Income",D644&gt;80000,"High Income")</f>
        <v>Moderate Income</v>
      </c>
      <c r="F644">
        <v>3</v>
      </c>
      <c r="G644" t="s">
        <v>21</v>
      </c>
      <c r="H644" t="s">
        <v>23</v>
      </c>
      <c r="I644" t="s">
        <v>17</v>
      </c>
      <c r="J644">
        <v>2</v>
      </c>
      <c r="K644" t="s">
        <v>26</v>
      </c>
      <c r="L644" t="s">
        <v>35</v>
      </c>
      <c r="M644">
        <v>50</v>
      </c>
      <c r="N644" t="str">
        <f t="shared" si="10"/>
        <v>Middle-Aged</v>
      </c>
      <c r="O644" t="s">
        <v>17</v>
      </c>
    </row>
    <row r="645" spans="1:15">
      <c r="A645">
        <v>14572</v>
      </c>
      <c r="B645" t="s">
        <v>63</v>
      </c>
      <c r="C645" t="s">
        <v>47</v>
      </c>
      <c r="D645" s="1">
        <v>70000</v>
      </c>
      <c r="E645" t="str" cm="1">
        <f t="array" ref="E645">_xlfn.IFS(D645&lt;40000,"Low Income",D645&lt;=80000,"Moderate Income",D645&gt;80000,"High Income")</f>
        <v>Moderate Income</v>
      </c>
      <c r="F645">
        <v>3</v>
      </c>
      <c r="G645" t="s">
        <v>34</v>
      </c>
      <c r="H645" t="s">
        <v>23</v>
      </c>
      <c r="I645" t="s">
        <v>17</v>
      </c>
      <c r="J645">
        <v>0</v>
      </c>
      <c r="K645" t="s">
        <v>24</v>
      </c>
      <c r="L645" t="s">
        <v>35</v>
      </c>
      <c r="M645">
        <v>35</v>
      </c>
      <c r="N645" t="str">
        <f t="shared" si="10"/>
        <v>Middle-Aged</v>
      </c>
      <c r="O645" t="s">
        <v>17</v>
      </c>
    </row>
    <row r="646" spans="1:15">
      <c r="A646">
        <v>23368</v>
      </c>
      <c r="B646" t="s">
        <v>63</v>
      </c>
      <c r="C646" t="s">
        <v>47</v>
      </c>
      <c r="D646" s="1">
        <v>60000</v>
      </c>
      <c r="E646" t="str" cm="1">
        <f t="array" ref="E646">_xlfn.IFS(D646&lt;40000,"Low Income",D646&lt;=80000,"Moderate Income",D646&gt;80000,"High Income")</f>
        <v>Moderate Income</v>
      </c>
      <c r="F646">
        <v>5</v>
      </c>
      <c r="G646" t="s">
        <v>15</v>
      </c>
      <c r="H646" t="s">
        <v>16</v>
      </c>
      <c r="I646" t="s">
        <v>17</v>
      </c>
      <c r="J646">
        <v>3</v>
      </c>
      <c r="K646" t="s">
        <v>61</v>
      </c>
      <c r="L646" t="s">
        <v>35</v>
      </c>
      <c r="M646">
        <v>41</v>
      </c>
      <c r="N646" t="str">
        <f t="shared" si="10"/>
        <v>Middle-Aged</v>
      </c>
      <c r="O646" t="s">
        <v>20</v>
      </c>
    </row>
    <row r="647" spans="1:15">
      <c r="A647">
        <v>16217</v>
      </c>
      <c r="B647" t="s">
        <v>64</v>
      </c>
      <c r="C647" t="s">
        <v>47</v>
      </c>
      <c r="D647" s="1">
        <v>60000</v>
      </c>
      <c r="E647" t="str" cm="1">
        <f t="array" ref="E647">_xlfn.IFS(D647&lt;40000,"Low Income",D647&lt;=80000,"Moderate Income",D647&gt;80000,"High Income")</f>
        <v>Moderate Income</v>
      </c>
      <c r="F647">
        <v>0</v>
      </c>
      <c r="G647" t="s">
        <v>34</v>
      </c>
      <c r="H647" t="s">
        <v>16</v>
      </c>
      <c r="I647" t="s">
        <v>17</v>
      </c>
      <c r="J647">
        <v>0</v>
      </c>
      <c r="K647" t="s">
        <v>18</v>
      </c>
      <c r="L647" t="s">
        <v>35</v>
      </c>
      <c r="M647">
        <v>39</v>
      </c>
      <c r="N647" t="str">
        <f t="shared" si="10"/>
        <v>Middle-Aged</v>
      </c>
      <c r="O647" t="s">
        <v>20</v>
      </c>
    </row>
    <row r="648" spans="1:15">
      <c r="A648">
        <v>16247</v>
      </c>
      <c r="B648" t="s">
        <v>64</v>
      </c>
      <c r="C648" t="s">
        <v>47</v>
      </c>
      <c r="D648" s="1">
        <v>60000</v>
      </c>
      <c r="E648" t="str" cm="1">
        <f t="array" ref="E648">_xlfn.IFS(D648&lt;40000,"Low Income",D648&lt;=80000,"Moderate Income",D648&gt;80000,"High Income")</f>
        <v>Moderate Income</v>
      </c>
      <c r="F648">
        <v>4</v>
      </c>
      <c r="G648" t="s">
        <v>34</v>
      </c>
      <c r="H648" t="s">
        <v>16</v>
      </c>
      <c r="I648" t="s">
        <v>20</v>
      </c>
      <c r="J648">
        <v>0</v>
      </c>
      <c r="K648" t="s">
        <v>29</v>
      </c>
      <c r="L648" t="s">
        <v>35</v>
      </c>
      <c r="M648">
        <v>47</v>
      </c>
      <c r="N648" t="str">
        <f t="shared" si="10"/>
        <v>Middle-Aged</v>
      </c>
      <c r="O648" t="s">
        <v>20</v>
      </c>
    </row>
    <row r="649" spans="1:15">
      <c r="A649">
        <v>22010</v>
      </c>
      <c r="B649" t="s">
        <v>64</v>
      </c>
      <c r="C649" t="s">
        <v>49</v>
      </c>
      <c r="D649" s="1">
        <v>40000</v>
      </c>
      <c r="E649" t="str" cm="1">
        <f t="array" ref="E649">_xlfn.IFS(D649&lt;40000,"Low Income",D649&lt;=80000,"Moderate Income",D649&gt;80000,"High Income")</f>
        <v>Moderate Income</v>
      </c>
      <c r="F649">
        <v>0</v>
      </c>
      <c r="G649" t="s">
        <v>30</v>
      </c>
      <c r="H649" t="s">
        <v>16</v>
      </c>
      <c r="I649" t="s">
        <v>17</v>
      </c>
      <c r="J649">
        <v>2</v>
      </c>
      <c r="K649" t="s">
        <v>26</v>
      </c>
      <c r="L649" t="s">
        <v>35</v>
      </c>
      <c r="M649">
        <v>31</v>
      </c>
      <c r="N649" t="str">
        <f t="shared" si="10"/>
        <v>Middle-Aged</v>
      </c>
      <c r="O649" t="s">
        <v>20</v>
      </c>
    </row>
    <row r="650" spans="1:15">
      <c r="A650">
        <v>25872</v>
      </c>
      <c r="B650" t="s">
        <v>64</v>
      </c>
      <c r="C650" t="s">
        <v>47</v>
      </c>
      <c r="D650" s="1">
        <v>70000</v>
      </c>
      <c r="E650" t="str" cm="1">
        <f t="array" ref="E650">_xlfn.IFS(D650&lt;40000,"Low Income",D650&lt;=80000,"Moderate Income",D650&gt;80000,"High Income")</f>
        <v>Moderate Income</v>
      </c>
      <c r="F650">
        <v>2</v>
      </c>
      <c r="G650" t="s">
        <v>15</v>
      </c>
      <c r="H650" t="s">
        <v>31</v>
      </c>
      <c r="I650" t="s">
        <v>20</v>
      </c>
      <c r="J650">
        <v>1</v>
      </c>
      <c r="K650" t="s">
        <v>24</v>
      </c>
      <c r="L650" t="s">
        <v>35</v>
      </c>
      <c r="M650">
        <v>58</v>
      </c>
      <c r="N650" t="str">
        <f t="shared" si="10"/>
        <v>Middle-Aged</v>
      </c>
      <c r="O650" t="s">
        <v>17</v>
      </c>
    </row>
    <row r="651" spans="1:15">
      <c r="A651">
        <v>19164</v>
      </c>
      <c r="B651" t="s">
        <v>64</v>
      </c>
      <c r="C651" t="s">
        <v>47</v>
      </c>
      <c r="D651" s="1">
        <v>70000</v>
      </c>
      <c r="E651" t="str" cm="1">
        <f t="array" ref="E651">_xlfn.IFS(D651&lt;40000,"Low Income",D651&lt;=80000,"Moderate Income",D651&gt;80000,"High Income")</f>
        <v>Moderate Income</v>
      </c>
      <c r="F651">
        <v>0</v>
      </c>
      <c r="G651" t="s">
        <v>15</v>
      </c>
      <c r="H651" t="s">
        <v>23</v>
      </c>
      <c r="I651" t="s">
        <v>20</v>
      </c>
      <c r="J651">
        <v>1</v>
      </c>
      <c r="K651" t="s">
        <v>24</v>
      </c>
      <c r="L651" t="s">
        <v>35</v>
      </c>
      <c r="M651">
        <v>38</v>
      </c>
      <c r="N651" t="str">
        <f t="shared" si="10"/>
        <v>Middle-Aged</v>
      </c>
      <c r="O651" t="s">
        <v>17</v>
      </c>
    </row>
    <row r="652" spans="1:15">
      <c r="A652">
        <v>18435</v>
      </c>
      <c r="B652" t="s">
        <v>64</v>
      </c>
      <c r="C652" t="s">
        <v>47</v>
      </c>
      <c r="D652" s="1">
        <v>70000</v>
      </c>
      <c r="E652" t="str" cm="1">
        <f t="array" ref="E652">_xlfn.IFS(D652&lt;40000,"Low Income",D652&lt;=80000,"Moderate Income",D652&gt;80000,"High Income")</f>
        <v>Moderate Income</v>
      </c>
      <c r="F652">
        <v>5</v>
      </c>
      <c r="G652" t="s">
        <v>34</v>
      </c>
      <c r="H652" t="s">
        <v>31</v>
      </c>
      <c r="I652" t="s">
        <v>17</v>
      </c>
      <c r="J652">
        <v>2</v>
      </c>
      <c r="K652" t="s">
        <v>61</v>
      </c>
      <c r="L652" t="s">
        <v>35</v>
      </c>
      <c r="M652">
        <v>67</v>
      </c>
      <c r="N652" t="str">
        <f t="shared" si="10"/>
        <v>Seniors</v>
      </c>
      <c r="O652" t="s">
        <v>17</v>
      </c>
    </row>
    <row r="653" spans="1:15">
      <c r="A653">
        <v>14284</v>
      </c>
      <c r="B653" t="s">
        <v>64</v>
      </c>
      <c r="C653" t="s">
        <v>49</v>
      </c>
      <c r="D653" s="1">
        <v>60000</v>
      </c>
      <c r="E653" t="str" cm="1">
        <f t="array" ref="E653">_xlfn.IFS(D653&lt;40000,"Low Income",D653&lt;=80000,"Moderate Income",D653&gt;80000,"High Income")</f>
        <v>Moderate Income</v>
      </c>
      <c r="F653">
        <v>0</v>
      </c>
      <c r="G653" t="s">
        <v>21</v>
      </c>
      <c r="H653" t="s">
        <v>23</v>
      </c>
      <c r="I653" t="s">
        <v>20</v>
      </c>
      <c r="J653">
        <v>2</v>
      </c>
      <c r="K653" t="s">
        <v>29</v>
      </c>
      <c r="L653" t="s">
        <v>35</v>
      </c>
      <c r="M653">
        <v>32</v>
      </c>
      <c r="N653" t="str">
        <f t="shared" si="10"/>
        <v>Middle-Aged</v>
      </c>
      <c r="O653" t="s">
        <v>17</v>
      </c>
    </row>
    <row r="654" spans="1:15">
      <c r="A654">
        <v>11287</v>
      </c>
      <c r="B654" t="s">
        <v>63</v>
      </c>
      <c r="C654" t="s">
        <v>49</v>
      </c>
      <c r="D654" s="1">
        <v>70000</v>
      </c>
      <c r="E654" t="str" cm="1">
        <f t="array" ref="E654">_xlfn.IFS(D654&lt;40000,"Low Income",D654&lt;=80000,"Moderate Income",D654&gt;80000,"High Income")</f>
        <v>Moderate Income</v>
      </c>
      <c r="F654">
        <v>5</v>
      </c>
      <c r="G654" t="s">
        <v>21</v>
      </c>
      <c r="H654" t="s">
        <v>23</v>
      </c>
      <c r="I654" t="s">
        <v>20</v>
      </c>
      <c r="J654">
        <v>3</v>
      </c>
      <c r="K654" t="s">
        <v>26</v>
      </c>
      <c r="L654" t="s">
        <v>35</v>
      </c>
      <c r="M654">
        <v>45</v>
      </c>
      <c r="N654" t="str">
        <f t="shared" si="10"/>
        <v>Middle-Aged</v>
      </c>
      <c r="O654" t="s">
        <v>20</v>
      </c>
    </row>
    <row r="655" spans="1:15">
      <c r="A655">
        <v>13066</v>
      </c>
      <c r="B655" t="s">
        <v>64</v>
      </c>
      <c r="C655" t="s">
        <v>49</v>
      </c>
      <c r="D655" s="1">
        <v>30000</v>
      </c>
      <c r="E655" t="str" cm="1">
        <f t="array" ref="E655">_xlfn.IFS(D655&lt;40000,"Low Income",D655&lt;=80000,"Moderate Income",D655&gt;80000,"High Income")</f>
        <v>Low Income</v>
      </c>
      <c r="F655">
        <v>0</v>
      </c>
      <c r="G655" t="s">
        <v>30</v>
      </c>
      <c r="H655" t="s">
        <v>16</v>
      </c>
      <c r="I655" t="s">
        <v>20</v>
      </c>
      <c r="J655">
        <v>2</v>
      </c>
      <c r="K655" t="s">
        <v>29</v>
      </c>
      <c r="L655" t="s">
        <v>35</v>
      </c>
      <c r="M655">
        <v>31</v>
      </c>
      <c r="N655" t="str">
        <f t="shared" si="10"/>
        <v>Middle-Aged</v>
      </c>
      <c r="O655" t="s">
        <v>17</v>
      </c>
    </row>
    <row r="656" spans="1:15">
      <c r="A656">
        <v>29106</v>
      </c>
      <c r="B656" t="s">
        <v>64</v>
      </c>
      <c r="C656" t="s">
        <v>49</v>
      </c>
      <c r="D656" s="1">
        <v>40000</v>
      </c>
      <c r="E656" t="str" cm="1">
        <f t="array" ref="E656">_xlfn.IFS(D656&lt;40000,"Low Income",D656&lt;=80000,"Moderate Income",D656&gt;80000,"High Income")</f>
        <v>Moderate Income</v>
      </c>
      <c r="F656">
        <v>0</v>
      </c>
      <c r="G656" t="s">
        <v>30</v>
      </c>
      <c r="H656" t="s">
        <v>16</v>
      </c>
      <c r="I656" t="s">
        <v>20</v>
      </c>
      <c r="J656">
        <v>2</v>
      </c>
      <c r="K656" t="s">
        <v>29</v>
      </c>
      <c r="L656" t="s">
        <v>35</v>
      </c>
      <c r="M656">
        <v>31</v>
      </c>
      <c r="N656" t="str">
        <f t="shared" si="10"/>
        <v>Middle-Aged</v>
      </c>
      <c r="O656" t="s">
        <v>17</v>
      </c>
    </row>
    <row r="657" spans="1:15">
      <c r="A657">
        <v>26236</v>
      </c>
      <c r="B657" t="s">
        <v>63</v>
      </c>
      <c r="C657" t="s">
        <v>47</v>
      </c>
      <c r="D657" s="1">
        <v>40000</v>
      </c>
      <c r="E657" t="str" cm="1">
        <f t="array" ref="E657">_xlfn.IFS(D657&lt;40000,"Low Income",D657&lt;=80000,"Moderate Income",D657&gt;80000,"High Income")</f>
        <v>Moderate Income</v>
      </c>
      <c r="F657">
        <v>3</v>
      </c>
      <c r="G657" t="s">
        <v>21</v>
      </c>
      <c r="H657" t="s">
        <v>22</v>
      </c>
      <c r="I657" t="s">
        <v>17</v>
      </c>
      <c r="J657">
        <v>1</v>
      </c>
      <c r="K657" t="s">
        <v>18</v>
      </c>
      <c r="L657" t="s">
        <v>35</v>
      </c>
      <c r="M657">
        <v>31</v>
      </c>
      <c r="N657" t="str">
        <f t="shared" si="10"/>
        <v>Middle-Aged</v>
      </c>
      <c r="O657" t="s">
        <v>20</v>
      </c>
    </row>
    <row r="658" spans="1:15">
      <c r="A658">
        <v>17531</v>
      </c>
      <c r="B658" t="s">
        <v>63</v>
      </c>
      <c r="C658" t="s">
        <v>49</v>
      </c>
      <c r="D658" s="1">
        <v>60000</v>
      </c>
      <c r="E658" t="str" cm="1">
        <f t="array" ref="E658">_xlfn.IFS(D658&lt;40000,"Low Income",D658&lt;=80000,"Moderate Income",D658&gt;80000,"High Income")</f>
        <v>Moderate Income</v>
      </c>
      <c r="F658">
        <v>2</v>
      </c>
      <c r="G658" t="s">
        <v>30</v>
      </c>
      <c r="H658" t="s">
        <v>23</v>
      </c>
      <c r="I658" t="s">
        <v>20</v>
      </c>
      <c r="J658">
        <v>2</v>
      </c>
      <c r="K658" t="s">
        <v>26</v>
      </c>
      <c r="L658" t="s">
        <v>35</v>
      </c>
      <c r="M658">
        <v>50</v>
      </c>
      <c r="N658" t="str">
        <f t="shared" si="10"/>
        <v>Middle-Aged</v>
      </c>
      <c r="O658" t="s">
        <v>20</v>
      </c>
    </row>
    <row r="659" spans="1:15">
      <c r="A659">
        <v>12964</v>
      </c>
      <c r="B659" t="s">
        <v>63</v>
      </c>
      <c r="C659" t="s">
        <v>49</v>
      </c>
      <c r="D659" s="1">
        <v>70000</v>
      </c>
      <c r="E659" t="str" cm="1">
        <f t="array" ref="E659">_xlfn.IFS(D659&lt;40000,"Low Income",D659&lt;=80000,"Moderate Income",D659&gt;80000,"High Income")</f>
        <v>Moderate Income</v>
      </c>
      <c r="F659">
        <v>1</v>
      </c>
      <c r="G659" t="s">
        <v>21</v>
      </c>
      <c r="H659" t="s">
        <v>16</v>
      </c>
      <c r="I659" t="s">
        <v>17</v>
      </c>
      <c r="J659">
        <v>1</v>
      </c>
      <c r="K659" t="s">
        <v>18</v>
      </c>
      <c r="L659" t="s">
        <v>35</v>
      </c>
      <c r="M659">
        <v>44</v>
      </c>
      <c r="N659" t="str">
        <f t="shared" si="10"/>
        <v>Middle-Aged</v>
      </c>
      <c r="O659" t="s">
        <v>20</v>
      </c>
    </row>
    <row r="660" spans="1:15">
      <c r="A660">
        <v>19133</v>
      </c>
      <c r="B660" t="s">
        <v>64</v>
      </c>
      <c r="C660" t="s">
        <v>49</v>
      </c>
      <c r="D660" s="1">
        <v>50000</v>
      </c>
      <c r="E660" t="str" cm="1">
        <f t="array" ref="E660">_xlfn.IFS(D660&lt;40000,"Low Income",D660&lt;=80000,"Moderate Income",D660&gt;80000,"High Income")</f>
        <v>Moderate Income</v>
      </c>
      <c r="F660">
        <v>2</v>
      </c>
      <c r="G660" t="s">
        <v>15</v>
      </c>
      <c r="H660" t="s">
        <v>16</v>
      </c>
      <c r="I660" t="s">
        <v>17</v>
      </c>
      <c r="J660">
        <v>1</v>
      </c>
      <c r="K660" t="s">
        <v>24</v>
      </c>
      <c r="L660" t="s">
        <v>35</v>
      </c>
      <c r="M660">
        <v>38</v>
      </c>
      <c r="N660" t="str">
        <f t="shared" si="10"/>
        <v>Middle-Aged</v>
      </c>
      <c r="O660" t="s">
        <v>17</v>
      </c>
    </row>
    <row r="661" spans="1:15">
      <c r="A661">
        <v>24643</v>
      </c>
      <c r="B661" t="s">
        <v>64</v>
      </c>
      <c r="C661" t="s">
        <v>47</v>
      </c>
      <c r="D661" s="1">
        <v>60000</v>
      </c>
      <c r="E661" t="str" cm="1">
        <f t="array" ref="E661">_xlfn.IFS(D661&lt;40000,"Low Income",D661&lt;=80000,"Moderate Income",D661&gt;80000,"High Income")</f>
        <v>Moderate Income</v>
      </c>
      <c r="F661">
        <v>4</v>
      </c>
      <c r="G661" t="s">
        <v>15</v>
      </c>
      <c r="H661" t="s">
        <v>31</v>
      </c>
      <c r="I661" t="s">
        <v>17</v>
      </c>
      <c r="J661">
        <v>2</v>
      </c>
      <c r="K661" t="s">
        <v>61</v>
      </c>
      <c r="L661" t="s">
        <v>35</v>
      </c>
      <c r="M661">
        <v>63</v>
      </c>
      <c r="N661" t="str">
        <f t="shared" si="10"/>
        <v>Seniors</v>
      </c>
      <c r="O661" t="s">
        <v>20</v>
      </c>
    </row>
    <row r="662" spans="1:15">
      <c r="A662">
        <v>21599</v>
      </c>
      <c r="B662" t="s">
        <v>63</v>
      </c>
      <c r="C662" t="s">
        <v>47</v>
      </c>
      <c r="D662" s="1">
        <v>60000</v>
      </c>
      <c r="E662" t="str" cm="1">
        <f t="array" ref="E662">_xlfn.IFS(D662&lt;40000,"Low Income",D662&lt;=80000,"Moderate Income",D662&gt;80000,"High Income")</f>
        <v>Moderate Income</v>
      </c>
      <c r="F662">
        <v>1</v>
      </c>
      <c r="G662" t="s">
        <v>34</v>
      </c>
      <c r="H662" t="s">
        <v>23</v>
      </c>
      <c r="I662" t="s">
        <v>17</v>
      </c>
      <c r="J662">
        <v>0</v>
      </c>
      <c r="K662" t="s">
        <v>24</v>
      </c>
      <c r="L662" t="s">
        <v>35</v>
      </c>
      <c r="M662">
        <v>36</v>
      </c>
      <c r="N662" t="str">
        <f t="shared" si="10"/>
        <v>Middle-Aged</v>
      </c>
      <c r="O662" t="s">
        <v>17</v>
      </c>
    </row>
    <row r="663" spans="1:15">
      <c r="A663">
        <v>22976</v>
      </c>
      <c r="B663" t="s">
        <v>64</v>
      </c>
      <c r="C663" t="s">
        <v>49</v>
      </c>
      <c r="D663" s="1">
        <v>40000</v>
      </c>
      <c r="E663" t="str" cm="1">
        <f t="array" ref="E663">_xlfn.IFS(D663&lt;40000,"Low Income",D663&lt;=80000,"Moderate Income",D663&gt;80000,"High Income")</f>
        <v>Moderate Income</v>
      </c>
      <c r="F663">
        <v>0</v>
      </c>
      <c r="G663" t="s">
        <v>30</v>
      </c>
      <c r="H663" t="s">
        <v>16</v>
      </c>
      <c r="I663" t="s">
        <v>20</v>
      </c>
      <c r="J663">
        <v>2</v>
      </c>
      <c r="K663" t="s">
        <v>18</v>
      </c>
      <c r="L663" t="s">
        <v>35</v>
      </c>
      <c r="M663">
        <v>28</v>
      </c>
      <c r="N663" t="str">
        <f t="shared" si="10"/>
        <v>Young Adults</v>
      </c>
      <c r="O663" t="s">
        <v>17</v>
      </c>
    </row>
    <row r="664" spans="1:15">
      <c r="A664">
        <v>27637</v>
      </c>
      <c r="B664" t="s">
        <v>64</v>
      </c>
      <c r="C664" t="s">
        <v>47</v>
      </c>
      <c r="D664" s="1">
        <v>100000</v>
      </c>
      <c r="E664" t="str" cm="1">
        <f t="array" ref="E664">_xlfn.IFS(D664&lt;40000,"Low Income",D664&lt;=80000,"Moderate Income",D664&gt;80000,"High Income")</f>
        <v>High Income</v>
      </c>
      <c r="F664">
        <v>1</v>
      </c>
      <c r="G664" t="s">
        <v>21</v>
      </c>
      <c r="H664" t="s">
        <v>23</v>
      </c>
      <c r="I664" t="s">
        <v>20</v>
      </c>
      <c r="J664">
        <v>3</v>
      </c>
      <c r="K664" t="s">
        <v>29</v>
      </c>
      <c r="L664" t="s">
        <v>35</v>
      </c>
      <c r="M664">
        <v>44</v>
      </c>
      <c r="N664" t="str">
        <f t="shared" si="10"/>
        <v>Middle-Aged</v>
      </c>
      <c r="O664" t="s">
        <v>20</v>
      </c>
    </row>
    <row r="665" spans="1:15">
      <c r="A665">
        <v>11890</v>
      </c>
      <c r="B665" t="s">
        <v>63</v>
      </c>
      <c r="C665" t="s">
        <v>47</v>
      </c>
      <c r="D665" s="1">
        <v>70000</v>
      </c>
      <c r="E665" t="str" cm="1">
        <f t="array" ref="E665">_xlfn.IFS(D665&lt;40000,"Low Income",D665&lt;=80000,"Moderate Income",D665&gt;80000,"High Income")</f>
        <v>Moderate Income</v>
      </c>
      <c r="F665">
        <v>5</v>
      </c>
      <c r="G665" t="s">
        <v>34</v>
      </c>
      <c r="H665" t="s">
        <v>23</v>
      </c>
      <c r="I665" t="s">
        <v>17</v>
      </c>
      <c r="J665">
        <v>1</v>
      </c>
      <c r="K665" t="s">
        <v>18</v>
      </c>
      <c r="L665" t="s">
        <v>35</v>
      </c>
      <c r="M665">
        <v>47</v>
      </c>
      <c r="N665" t="str">
        <f t="shared" si="10"/>
        <v>Middle-Aged</v>
      </c>
      <c r="O665" t="s">
        <v>20</v>
      </c>
    </row>
    <row r="666" spans="1:15">
      <c r="A666">
        <v>28580</v>
      </c>
      <c r="B666" t="s">
        <v>63</v>
      </c>
      <c r="C666" t="s">
        <v>47</v>
      </c>
      <c r="D666" s="1">
        <v>80000</v>
      </c>
      <c r="E666" t="str" cm="1">
        <f t="array" ref="E666">_xlfn.IFS(D666&lt;40000,"Low Income",D666&lt;=80000,"Moderate Income",D666&gt;80000,"High Income")</f>
        <v>Moderate Income</v>
      </c>
      <c r="F666">
        <v>0</v>
      </c>
      <c r="G666" t="s">
        <v>34</v>
      </c>
      <c r="H666" t="s">
        <v>16</v>
      </c>
      <c r="I666" t="s">
        <v>17</v>
      </c>
      <c r="J666">
        <v>0</v>
      </c>
      <c r="K666" t="s">
        <v>29</v>
      </c>
      <c r="L666" t="s">
        <v>35</v>
      </c>
      <c r="M666">
        <v>40</v>
      </c>
      <c r="N666" t="str">
        <f t="shared" si="10"/>
        <v>Middle-Aged</v>
      </c>
      <c r="O666" t="s">
        <v>17</v>
      </c>
    </row>
    <row r="667" spans="1:15">
      <c r="A667">
        <v>14443</v>
      </c>
      <c r="B667" t="s">
        <v>63</v>
      </c>
      <c r="C667" t="s">
        <v>49</v>
      </c>
      <c r="D667" s="1">
        <v>130000</v>
      </c>
      <c r="E667" t="str" cm="1">
        <f t="array" ref="E667">_xlfn.IFS(D667&lt;40000,"Low Income",D667&lt;=80000,"Moderate Income",D667&gt;80000,"High Income")</f>
        <v>High Income</v>
      </c>
      <c r="F667">
        <v>1</v>
      </c>
      <c r="G667" t="s">
        <v>34</v>
      </c>
      <c r="H667" t="s">
        <v>31</v>
      </c>
      <c r="I667" t="s">
        <v>17</v>
      </c>
      <c r="J667">
        <v>4</v>
      </c>
      <c r="K667" t="s">
        <v>18</v>
      </c>
      <c r="L667" t="s">
        <v>35</v>
      </c>
      <c r="M667">
        <v>40</v>
      </c>
      <c r="N667" t="str">
        <f t="shared" si="10"/>
        <v>Middle-Aged</v>
      </c>
      <c r="O667" t="s">
        <v>20</v>
      </c>
    </row>
    <row r="668" spans="1:15">
      <c r="A668">
        <v>17864</v>
      </c>
      <c r="B668" t="s">
        <v>63</v>
      </c>
      <c r="C668" t="s">
        <v>47</v>
      </c>
      <c r="D668" s="1">
        <v>60000</v>
      </c>
      <c r="E668" t="str" cm="1">
        <f t="array" ref="E668">_xlfn.IFS(D668&lt;40000,"Low Income",D668&lt;=80000,"Moderate Income",D668&gt;80000,"High Income")</f>
        <v>Moderate Income</v>
      </c>
      <c r="F668">
        <v>1</v>
      </c>
      <c r="G668" t="s">
        <v>21</v>
      </c>
      <c r="H668" t="s">
        <v>16</v>
      </c>
      <c r="I668" t="s">
        <v>17</v>
      </c>
      <c r="J668">
        <v>1</v>
      </c>
      <c r="K668" t="s">
        <v>24</v>
      </c>
      <c r="L668" t="s">
        <v>35</v>
      </c>
      <c r="M668">
        <v>46</v>
      </c>
      <c r="N668" t="str">
        <f t="shared" si="10"/>
        <v>Middle-Aged</v>
      </c>
      <c r="O668" t="s">
        <v>17</v>
      </c>
    </row>
    <row r="669" spans="1:15">
      <c r="A669">
        <v>20505</v>
      </c>
      <c r="B669" t="s">
        <v>63</v>
      </c>
      <c r="C669" t="s">
        <v>47</v>
      </c>
      <c r="D669" s="1">
        <v>40000</v>
      </c>
      <c r="E669" t="str" cm="1">
        <f t="array" ref="E669">_xlfn.IFS(D669&lt;40000,"Low Income",D669&lt;=80000,"Moderate Income",D669&gt;80000,"High Income")</f>
        <v>Moderate Income</v>
      </c>
      <c r="F669">
        <v>5</v>
      </c>
      <c r="G669" t="s">
        <v>30</v>
      </c>
      <c r="H669" t="s">
        <v>23</v>
      </c>
      <c r="I669" t="s">
        <v>20</v>
      </c>
      <c r="J669">
        <v>2</v>
      </c>
      <c r="K669" t="s">
        <v>61</v>
      </c>
      <c r="L669" t="s">
        <v>35</v>
      </c>
      <c r="M669">
        <v>61</v>
      </c>
      <c r="N669" t="str">
        <f t="shared" si="10"/>
        <v>Seniors</v>
      </c>
      <c r="O669" t="s">
        <v>20</v>
      </c>
    </row>
    <row r="670" spans="1:15">
      <c r="A670">
        <v>14592</v>
      </c>
      <c r="B670" t="s">
        <v>63</v>
      </c>
      <c r="C670" t="s">
        <v>47</v>
      </c>
      <c r="D670" s="1">
        <v>60000</v>
      </c>
      <c r="E670" t="str" cm="1">
        <f t="array" ref="E670">_xlfn.IFS(D670&lt;40000,"Low Income",D670&lt;=80000,"Moderate Income",D670&gt;80000,"High Income")</f>
        <v>Moderate Income</v>
      </c>
      <c r="F670">
        <v>0</v>
      </c>
      <c r="G670" t="s">
        <v>34</v>
      </c>
      <c r="H670" t="s">
        <v>23</v>
      </c>
      <c r="I670" t="s">
        <v>17</v>
      </c>
      <c r="J670">
        <v>0</v>
      </c>
      <c r="K670" t="s">
        <v>18</v>
      </c>
      <c r="L670" t="s">
        <v>35</v>
      </c>
      <c r="M670">
        <v>40</v>
      </c>
      <c r="N670" t="str">
        <f t="shared" si="10"/>
        <v>Middle-Aged</v>
      </c>
      <c r="O670" t="s">
        <v>20</v>
      </c>
    </row>
    <row r="671" spans="1:15">
      <c r="A671">
        <v>22227</v>
      </c>
      <c r="B671" t="s">
        <v>63</v>
      </c>
      <c r="C671" t="s">
        <v>47</v>
      </c>
      <c r="D671" s="1">
        <v>60000</v>
      </c>
      <c r="E671" t="str" cm="1">
        <f t="array" ref="E671">_xlfn.IFS(D671&lt;40000,"Low Income",D671&lt;=80000,"Moderate Income",D671&gt;80000,"High Income")</f>
        <v>Moderate Income</v>
      </c>
      <c r="F671">
        <v>2</v>
      </c>
      <c r="G671" t="s">
        <v>30</v>
      </c>
      <c r="H671" t="s">
        <v>23</v>
      </c>
      <c r="I671" t="s">
        <v>17</v>
      </c>
      <c r="J671">
        <v>2</v>
      </c>
      <c r="K671" t="s">
        <v>26</v>
      </c>
      <c r="L671" t="s">
        <v>35</v>
      </c>
      <c r="M671">
        <v>50</v>
      </c>
      <c r="N671" t="str">
        <f t="shared" si="10"/>
        <v>Middle-Aged</v>
      </c>
      <c r="O671" t="s">
        <v>20</v>
      </c>
    </row>
    <row r="672" spans="1:15">
      <c r="A672">
        <v>21471</v>
      </c>
      <c r="B672" t="s">
        <v>63</v>
      </c>
      <c r="C672" t="s">
        <v>49</v>
      </c>
      <c r="D672" s="1">
        <v>70000</v>
      </c>
      <c r="E672" t="str" cm="1">
        <f t="array" ref="E672">_xlfn.IFS(D672&lt;40000,"Low Income",D672&lt;=80000,"Moderate Income",D672&gt;80000,"High Income")</f>
        <v>Moderate Income</v>
      </c>
      <c r="F672">
        <v>2</v>
      </c>
      <c r="G672" t="s">
        <v>21</v>
      </c>
      <c r="H672" t="s">
        <v>23</v>
      </c>
      <c r="I672" t="s">
        <v>17</v>
      </c>
      <c r="J672">
        <v>1</v>
      </c>
      <c r="K672" t="s">
        <v>61</v>
      </c>
      <c r="L672" t="s">
        <v>35</v>
      </c>
      <c r="M672">
        <v>59</v>
      </c>
      <c r="N672" t="str">
        <f t="shared" si="10"/>
        <v>Middle-Aged</v>
      </c>
      <c r="O672" t="s">
        <v>20</v>
      </c>
    </row>
    <row r="673" spans="1:15">
      <c r="A673">
        <v>22252</v>
      </c>
      <c r="B673" t="s">
        <v>64</v>
      </c>
      <c r="C673" t="s">
        <v>47</v>
      </c>
      <c r="D673" s="1">
        <v>60000</v>
      </c>
      <c r="E673" t="str" cm="1">
        <f t="array" ref="E673">_xlfn.IFS(D673&lt;40000,"Low Income",D673&lt;=80000,"Moderate Income",D673&gt;80000,"High Income")</f>
        <v>Moderate Income</v>
      </c>
      <c r="F673">
        <v>1</v>
      </c>
      <c r="G673" t="s">
        <v>34</v>
      </c>
      <c r="H673" t="s">
        <v>23</v>
      </c>
      <c r="I673" t="s">
        <v>17</v>
      </c>
      <c r="J673">
        <v>0</v>
      </c>
      <c r="K673" t="s">
        <v>24</v>
      </c>
      <c r="L673" t="s">
        <v>35</v>
      </c>
      <c r="M673">
        <v>36</v>
      </c>
      <c r="N673" t="str">
        <f t="shared" si="10"/>
        <v>Middle-Aged</v>
      </c>
      <c r="O673" t="s">
        <v>17</v>
      </c>
    </row>
    <row r="674" spans="1:15">
      <c r="A674">
        <v>21260</v>
      </c>
      <c r="B674" t="s">
        <v>64</v>
      </c>
      <c r="C674" t="s">
        <v>47</v>
      </c>
      <c r="D674" s="1">
        <v>40000</v>
      </c>
      <c r="E674" t="str" cm="1">
        <f t="array" ref="E674">_xlfn.IFS(D674&lt;40000,"Low Income",D674&lt;=80000,"Moderate Income",D674&gt;80000,"High Income")</f>
        <v>Moderate Income</v>
      </c>
      <c r="F674">
        <v>0</v>
      </c>
      <c r="G674" t="s">
        <v>30</v>
      </c>
      <c r="H674" t="s">
        <v>16</v>
      </c>
      <c r="I674" t="s">
        <v>17</v>
      </c>
      <c r="J674">
        <v>2</v>
      </c>
      <c r="K674" t="s">
        <v>26</v>
      </c>
      <c r="L674" t="s">
        <v>35</v>
      </c>
      <c r="M674">
        <v>30</v>
      </c>
      <c r="N674" t="str">
        <f t="shared" si="10"/>
        <v>Young Adults</v>
      </c>
      <c r="O674" t="s">
        <v>20</v>
      </c>
    </row>
    <row r="675" spans="1:15">
      <c r="A675">
        <v>11817</v>
      </c>
      <c r="B675" t="s">
        <v>64</v>
      </c>
      <c r="C675" t="s">
        <v>47</v>
      </c>
      <c r="D675" s="1">
        <v>70000</v>
      </c>
      <c r="E675" t="str" cm="1">
        <f t="array" ref="E675">_xlfn.IFS(D675&lt;40000,"Low Income",D675&lt;=80000,"Moderate Income",D675&gt;80000,"High Income")</f>
        <v>Moderate Income</v>
      </c>
      <c r="F675">
        <v>4</v>
      </c>
      <c r="G675" t="s">
        <v>34</v>
      </c>
      <c r="H675" t="s">
        <v>23</v>
      </c>
      <c r="I675" t="s">
        <v>17</v>
      </c>
      <c r="J675">
        <v>0</v>
      </c>
      <c r="K675" t="s">
        <v>24</v>
      </c>
      <c r="L675" t="s">
        <v>35</v>
      </c>
      <c r="M675">
        <v>35</v>
      </c>
      <c r="N675" t="str">
        <f t="shared" si="10"/>
        <v>Middle-Aged</v>
      </c>
      <c r="O675" t="s">
        <v>17</v>
      </c>
    </row>
    <row r="676" spans="1:15">
      <c r="A676">
        <v>19223</v>
      </c>
      <c r="B676" t="s">
        <v>63</v>
      </c>
      <c r="C676" t="s">
        <v>47</v>
      </c>
      <c r="D676" s="1">
        <v>30000</v>
      </c>
      <c r="E676" t="str" cm="1">
        <f t="array" ref="E676">_xlfn.IFS(D676&lt;40000,"Low Income",D676&lt;=80000,"Moderate Income",D676&gt;80000,"High Income")</f>
        <v>Low Income</v>
      </c>
      <c r="F676">
        <v>2</v>
      </c>
      <c r="G676" t="s">
        <v>30</v>
      </c>
      <c r="H676" t="s">
        <v>16</v>
      </c>
      <c r="I676" t="s">
        <v>17</v>
      </c>
      <c r="J676">
        <v>2</v>
      </c>
      <c r="K676" t="s">
        <v>29</v>
      </c>
      <c r="L676" t="s">
        <v>35</v>
      </c>
      <c r="M676">
        <v>48</v>
      </c>
      <c r="N676" t="str">
        <f t="shared" si="10"/>
        <v>Middle-Aged</v>
      </c>
      <c r="O676" t="s">
        <v>20</v>
      </c>
    </row>
    <row r="677" spans="1:15">
      <c r="A677">
        <v>18517</v>
      </c>
      <c r="B677" t="s">
        <v>63</v>
      </c>
      <c r="C677" t="s">
        <v>49</v>
      </c>
      <c r="D677" s="1">
        <v>100000</v>
      </c>
      <c r="E677" t="str" cm="1">
        <f t="array" ref="E677">_xlfn.IFS(D677&lt;40000,"Low Income",D677&lt;=80000,"Moderate Income",D677&gt;80000,"High Income")</f>
        <v>High Income</v>
      </c>
      <c r="F677">
        <v>3</v>
      </c>
      <c r="G677" t="s">
        <v>15</v>
      </c>
      <c r="H677" t="s">
        <v>31</v>
      </c>
      <c r="I677" t="s">
        <v>17</v>
      </c>
      <c r="J677">
        <v>4</v>
      </c>
      <c r="K677" t="s">
        <v>18</v>
      </c>
      <c r="L677" t="s">
        <v>35</v>
      </c>
      <c r="M677">
        <v>41</v>
      </c>
      <c r="N677" t="str">
        <f t="shared" si="10"/>
        <v>Middle-Aged</v>
      </c>
      <c r="O677" t="s">
        <v>20</v>
      </c>
    </row>
    <row r="678" spans="1:15">
      <c r="A678">
        <v>21717</v>
      </c>
      <c r="B678" t="s">
        <v>63</v>
      </c>
      <c r="C678" t="s">
        <v>49</v>
      </c>
      <c r="D678" s="1">
        <v>40000</v>
      </c>
      <c r="E678" t="str" cm="1">
        <f t="array" ref="E678">_xlfn.IFS(D678&lt;40000,"Low Income",D678&lt;=80000,"Moderate Income",D678&gt;80000,"High Income")</f>
        <v>Moderate Income</v>
      </c>
      <c r="F678">
        <v>2</v>
      </c>
      <c r="G678" t="s">
        <v>21</v>
      </c>
      <c r="H678" t="s">
        <v>22</v>
      </c>
      <c r="I678" t="s">
        <v>17</v>
      </c>
      <c r="J678">
        <v>1</v>
      </c>
      <c r="K678" t="s">
        <v>18</v>
      </c>
      <c r="L678" t="s">
        <v>35</v>
      </c>
      <c r="M678">
        <v>47</v>
      </c>
      <c r="N678" t="str">
        <f t="shared" si="10"/>
        <v>Middle-Aged</v>
      </c>
      <c r="O678" t="s">
        <v>20</v>
      </c>
    </row>
    <row r="679" spans="1:15">
      <c r="A679">
        <v>13760</v>
      </c>
      <c r="B679" t="s">
        <v>63</v>
      </c>
      <c r="C679" t="s">
        <v>49</v>
      </c>
      <c r="D679" s="1">
        <v>60000</v>
      </c>
      <c r="E679" t="str" cm="1">
        <f t="array" ref="E679">_xlfn.IFS(D679&lt;40000,"Low Income",D679&lt;=80000,"Moderate Income",D679&gt;80000,"High Income")</f>
        <v>Moderate Income</v>
      </c>
      <c r="F679">
        <v>4</v>
      </c>
      <c r="G679" t="s">
        <v>34</v>
      </c>
      <c r="H679" t="s">
        <v>16</v>
      </c>
      <c r="I679" t="s">
        <v>20</v>
      </c>
      <c r="J679">
        <v>0</v>
      </c>
      <c r="K679" t="s">
        <v>18</v>
      </c>
      <c r="L679" t="s">
        <v>35</v>
      </c>
      <c r="M679">
        <v>47</v>
      </c>
      <c r="N679" t="str">
        <f t="shared" si="10"/>
        <v>Middle-Aged</v>
      </c>
      <c r="O679" t="s">
        <v>20</v>
      </c>
    </row>
    <row r="680" spans="1:15">
      <c r="A680">
        <v>18145</v>
      </c>
      <c r="B680" t="s">
        <v>63</v>
      </c>
      <c r="C680" t="s">
        <v>49</v>
      </c>
      <c r="D680" s="1">
        <v>80000</v>
      </c>
      <c r="E680" t="str" cm="1">
        <f t="array" ref="E680">_xlfn.IFS(D680&lt;40000,"Low Income",D680&lt;=80000,"Moderate Income",D680&gt;80000,"High Income")</f>
        <v>Moderate Income</v>
      </c>
      <c r="F680">
        <v>5</v>
      </c>
      <c r="G680" t="s">
        <v>15</v>
      </c>
      <c r="H680" t="s">
        <v>31</v>
      </c>
      <c r="I680" t="s">
        <v>20</v>
      </c>
      <c r="J680">
        <v>2</v>
      </c>
      <c r="K680" t="s">
        <v>24</v>
      </c>
      <c r="L680" t="s">
        <v>19</v>
      </c>
      <c r="M680">
        <v>62</v>
      </c>
      <c r="N680" t="str">
        <f t="shared" si="10"/>
        <v>Seniors</v>
      </c>
      <c r="O680" t="s">
        <v>20</v>
      </c>
    </row>
    <row r="681" spans="1:15">
      <c r="A681">
        <v>21770</v>
      </c>
      <c r="B681" t="s">
        <v>63</v>
      </c>
      <c r="C681" t="s">
        <v>49</v>
      </c>
      <c r="D681" s="1">
        <v>60000</v>
      </c>
      <c r="E681" t="str" cm="1">
        <f t="array" ref="E681">_xlfn.IFS(D681&lt;40000,"Low Income",D681&lt;=80000,"Moderate Income",D681&gt;80000,"High Income")</f>
        <v>Moderate Income</v>
      </c>
      <c r="F681">
        <v>4</v>
      </c>
      <c r="G681" t="s">
        <v>15</v>
      </c>
      <c r="H681" t="s">
        <v>31</v>
      </c>
      <c r="I681" t="s">
        <v>17</v>
      </c>
      <c r="J681">
        <v>2</v>
      </c>
      <c r="K681" t="s">
        <v>61</v>
      </c>
      <c r="L681" t="s">
        <v>35</v>
      </c>
      <c r="M681">
        <v>60</v>
      </c>
      <c r="N681" t="str">
        <f t="shared" si="10"/>
        <v>Seniors</v>
      </c>
      <c r="O681" t="s">
        <v>20</v>
      </c>
    </row>
    <row r="682" spans="1:15">
      <c r="A682">
        <v>11165</v>
      </c>
      <c r="B682" t="s">
        <v>63</v>
      </c>
      <c r="C682" t="s">
        <v>47</v>
      </c>
      <c r="D682" s="1">
        <v>60000</v>
      </c>
      <c r="E682" t="str" cm="1">
        <f t="array" ref="E682">_xlfn.IFS(D682&lt;40000,"Low Income",D682&lt;=80000,"Moderate Income",D682&gt;80000,"High Income")</f>
        <v>Moderate Income</v>
      </c>
      <c r="F682">
        <v>0</v>
      </c>
      <c r="G682" t="s">
        <v>21</v>
      </c>
      <c r="H682" t="s">
        <v>16</v>
      </c>
      <c r="I682" t="s">
        <v>20</v>
      </c>
      <c r="J682">
        <v>1</v>
      </c>
      <c r="K682" t="s">
        <v>29</v>
      </c>
      <c r="L682" t="s">
        <v>35</v>
      </c>
      <c r="M682">
        <v>33</v>
      </c>
      <c r="N682" t="str">
        <f t="shared" si="10"/>
        <v>Middle-Aged</v>
      </c>
      <c r="O682" t="s">
        <v>20</v>
      </c>
    </row>
    <row r="683" spans="1:15">
      <c r="A683">
        <v>16377</v>
      </c>
      <c r="B683" t="s">
        <v>64</v>
      </c>
      <c r="C683" t="s">
        <v>47</v>
      </c>
      <c r="D683" s="1">
        <v>80000</v>
      </c>
      <c r="E683" t="str" cm="1">
        <f t="array" ref="E683">_xlfn.IFS(D683&lt;40000,"Low Income",D683&lt;=80000,"Moderate Income",D683&gt;80000,"High Income")</f>
        <v>Moderate Income</v>
      </c>
      <c r="F683">
        <v>4</v>
      </c>
      <c r="G683" t="s">
        <v>34</v>
      </c>
      <c r="H683" t="s">
        <v>16</v>
      </c>
      <c r="I683" t="s">
        <v>20</v>
      </c>
      <c r="J683">
        <v>0</v>
      </c>
      <c r="K683" t="s">
        <v>18</v>
      </c>
      <c r="L683" t="s">
        <v>35</v>
      </c>
      <c r="M683">
        <v>47</v>
      </c>
      <c r="N683" t="str">
        <f t="shared" si="10"/>
        <v>Middle-Aged</v>
      </c>
      <c r="O683" t="s">
        <v>20</v>
      </c>
    </row>
    <row r="684" spans="1:15">
      <c r="A684">
        <v>26248</v>
      </c>
      <c r="B684" t="s">
        <v>63</v>
      </c>
      <c r="C684" t="s">
        <v>49</v>
      </c>
      <c r="D684" s="1">
        <v>20000</v>
      </c>
      <c r="E684" t="str" cm="1">
        <f t="array" ref="E684">_xlfn.IFS(D684&lt;40000,"Low Income",D684&lt;=80000,"Moderate Income",D684&gt;80000,"High Income")</f>
        <v>Low Income</v>
      </c>
      <c r="F684">
        <v>3</v>
      </c>
      <c r="G684" t="s">
        <v>32</v>
      </c>
      <c r="H684" t="s">
        <v>22</v>
      </c>
      <c r="I684" t="s">
        <v>20</v>
      </c>
      <c r="J684">
        <v>2</v>
      </c>
      <c r="K684" t="s">
        <v>18</v>
      </c>
      <c r="L684" t="s">
        <v>35</v>
      </c>
      <c r="M684">
        <v>52</v>
      </c>
      <c r="N684" t="str">
        <f t="shared" si="10"/>
        <v>Middle-Aged</v>
      </c>
      <c r="O684" t="s">
        <v>20</v>
      </c>
    </row>
    <row r="685" spans="1:15">
      <c r="A685">
        <v>23461</v>
      </c>
      <c r="B685" t="s">
        <v>63</v>
      </c>
      <c r="C685" t="s">
        <v>47</v>
      </c>
      <c r="D685" s="1">
        <v>90000</v>
      </c>
      <c r="E685" t="str" cm="1">
        <f t="array" ref="E685">_xlfn.IFS(D685&lt;40000,"Low Income",D685&lt;=80000,"Moderate Income",D685&gt;80000,"High Income")</f>
        <v>High Income</v>
      </c>
      <c r="F685">
        <v>5</v>
      </c>
      <c r="G685" t="s">
        <v>21</v>
      </c>
      <c r="H685" t="s">
        <v>23</v>
      </c>
      <c r="I685" t="s">
        <v>17</v>
      </c>
      <c r="J685">
        <v>3</v>
      </c>
      <c r="K685" t="s">
        <v>24</v>
      </c>
      <c r="L685" t="s">
        <v>35</v>
      </c>
      <c r="M685">
        <v>40</v>
      </c>
      <c r="N685" t="str">
        <f t="shared" si="10"/>
        <v>Middle-Aged</v>
      </c>
      <c r="O685" t="s">
        <v>20</v>
      </c>
    </row>
    <row r="686" spans="1:15">
      <c r="A686">
        <v>29133</v>
      </c>
      <c r="B686" t="s">
        <v>64</v>
      </c>
      <c r="C686" t="s">
        <v>47</v>
      </c>
      <c r="D686" s="1">
        <v>60000</v>
      </c>
      <c r="E686" t="str" cm="1">
        <f t="array" ref="E686">_xlfn.IFS(D686&lt;40000,"Low Income",D686&lt;=80000,"Moderate Income",D686&gt;80000,"High Income")</f>
        <v>Moderate Income</v>
      </c>
      <c r="F686">
        <v>4</v>
      </c>
      <c r="G686" t="s">
        <v>15</v>
      </c>
      <c r="H686" t="s">
        <v>16</v>
      </c>
      <c r="I686" t="s">
        <v>20</v>
      </c>
      <c r="J686">
        <v>2</v>
      </c>
      <c r="K686" t="s">
        <v>18</v>
      </c>
      <c r="L686" t="s">
        <v>35</v>
      </c>
      <c r="M686">
        <v>42</v>
      </c>
      <c r="N686" t="str">
        <f t="shared" si="10"/>
        <v>Middle-Aged</v>
      </c>
      <c r="O686" t="s">
        <v>20</v>
      </c>
    </row>
    <row r="687" spans="1:15">
      <c r="A687">
        <v>27673</v>
      </c>
      <c r="B687" t="s">
        <v>64</v>
      </c>
      <c r="C687" t="s">
        <v>47</v>
      </c>
      <c r="D687" s="1">
        <v>60000</v>
      </c>
      <c r="E687" t="str" cm="1">
        <f t="array" ref="E687">_xlfn.IFS(D687&lt;40000,"Low Income",D687&lt;=80000,"Moderate Income",D687&gt;80000,"High Income")</f>
        <v>Moderate Income</v>
      </c>
      <c r="F687">
        <v>3</v>
      </c>
      <c r="G687" t="s">
        <v>34</v>
      </c>
      <c r="H687" t="s">
        <v>31</v>
      </c>
      <c r="I687" t="s">
        <v>17</v>
      </c>
      <c r="J687">
        <v>2</v>
      </c>
      <c r="K687" t="s">
        <v>26</v>
      </c>
      <c r="L687" t="s">
        <v>35</v>
      </c>
      <c r="M687">
        <v>53</v>
      </c>
      <c r="N687" t="str">
        <f t="shared" si="10"/>
        <v>Middle-Aged</v>
      </c>
      <c r="O687" t="s">
        <v>17</v>
      </c>
    </row>
    <row r="688" spans="1:15">
      <c r="A688">
        <v>12774</v>
      </c>
      <c r="B688" t="s">
        <v>63</v>
      </c>
      <c r="C688" t="s">
        <v>47</v>
      </c>
      <c r="D688" s="1">
        <v>40000</v>
      </c>
      <c r="E688" t="str" cm="1">
        <f t="array" ref="E688">_xlfn.IFS(D688&lt;40000,"Low Income",D688&lt;=80000,"Moderate Income",D688&gt;80000,"High Income")</f>
        <v>Moderate Income</v>
      </c>
      <c r="F688">
        <v>1</v>
      </c>
      <c r="G688" t="s">
        <v>21</v>
      </c>
      <c r="H688" t="s">
        <v>22</v>
      </c>
      <c r="I688" t="s">
        <v>17</v>
      </c>
      <c r="J688">
        <v>1</v>
      </c>
      <c r="K688" t="s">
        <v>29</v>
      </c>
      <c r="L688" t="s">
        <v>35</v>
      </c>
      <c r="M688">
        <v>51</v>
      </c>
      <c r="N688" t="str">
        <f t="shared" si="10"/>
        <v>Middle-Aged</v>
      </c>
      <c r="O688" t="s">
        <v>17</v>
      </c>
    </row>
    <row r="689" spans="1:15">
      <c r="A689">
        <v>18910</v>
      </c>
      <c r="B689" t="s">
        <v>64</v>
      </c>
      <c r="C689" t="s">
        <v>49</v>
      </c>
      <c r="D689" s="1">
        <v>30000</v>
      </c>
      <c r="E689" t="str" cm="1">
        <f t="array" ref="E689">_xlfn.IFS(D689&lt;40000,"Low Income",D689&lt;=80000,"Moderate Income",D689&gt;80000,"High Income")</f>
        <v>Low Income</v>
      </c>
      <c r="F689">
        <v>0</v>
      </c>
      <c r="G689" t="s">
        <v>21</v>
      </c>
      <c r="H689" t="s">
        <v>16</v>
      </c>
      <c r="I689" t="s">
        <v>17</v>
      </c>
      <c r="J689">
        <v>2</v>
      </c>
      <c r="K689" t="s">
        <v>26</v>
      </c>
      <c r="L689" t="s">
        <v>35</v>
      </c>
      <c r="M689">
        <v>30</v>
      </c>
      <c r="N689" t="str">
        <f t="shared" si="10"/>
        <v>Young Adults</v>
      </c>
      <c r="O689" t="s">
        <v>20</v>
      </c>
    </row>
    <row r="690" spans="1:15">
      <c r="A690">
        <v>11699</v>
      </c>
      <c r="B690" t="s">
        <v>64</v>
      </c>
      <c r="C690" t="s">
        <v>49</v>
      </c>
      <c r="D690" s="1">
        <v>60000</v>
      </c>
      <c r="E690" t="str" cm="1">
        <f t="array" ref="E690">_xlfn.IFS(D690&lt;40000,"Low Income",D690&lt;=80000,"Moderate Income",D690&gt;80000,"High Income")</f>
        <v>Moderate Income</v>
      </c>
      <c r="F690">
        <v>0</v>
      </c>
      <c r="G690" t="s">
        <v>15</v>
      </c>
      <c r="H690" t="s">
        <v>16</v>
      </c>
      <c r="I690" t="s">
        <v>20</v>
      </c>
      <c r="J690">
        <v>2</v>
      </c>
      <c r="K690" t="s">
        <v>18</v>
      </c>
      <c r="L690" t="s">
        <v>35</v>
      </c>
      <c r="M690">
        <v>30</v>
      </c>
      <c r="N690" t="str">
        <f t="shared" si="10"/>
        <v>Young Adults</v>
      </c>
      <c r="O690" t="s">
        <v>20</v>
      </c>
    </row>
    <row r="691" spans="1:15">
      <c r="A691">
        <v>16725</v>
      </c>
      <c r="B691" t="s">
        <v>63</v>
      </c>
      <c r="C691" t="s">
        <v>49</v>
      </c>
      <c r="D691" s="1">
        <v>30000</v>
      </c>
      <c r="E691" t="str" cm="1">
        <f t="array" ref="E691">_xlfn.IFS(D691&lt;40000,"Low Income",D691&lt;=80000,"Moderate Income",D691&gt;80000,"High Income")</f>
        <v>Low Income</v>
      </c>
      <c r="F691">
        <v>0</v>
      </c>
      <c r="G691" t="s">
        <v>30</v>
      </c>
      <c r="H691" t="s">
        <v>16</v>
      </c>
      <c r="I691" t="s">
        <v>17</v>
      </c>
      <c r="J691">
        <v>2</v>
      </c>
      <c r="K691" t="s">
        <v>26</v>
      </c>
      <c r="L691" t="s">
        <v>35</v>
      </c>
      <c r="M691">
        <v>26</v>
      </c>
      <c r="N691" t="str">
        <f t="shared" si="10"/>
        <v>Young Adults</v>
      </c>
      <c r="O691" t="s">
        <v>20</v>
      </c>
    </row>
    <row r="692" spans="1:15">
      <c r="A692">
        <v>28269</v>
      </c>
      <c r="B692" t="s">
        <v>64</v>
      </c>
      <c r="C692" t="s">
        <v>47</v>
      </c>
      <c r="D692" s="1">
        <v>130000</v>
      </c>
      <c r="E692" t="str" cm="1">
        <f t="array" ref="E692">_xlfn.IFS(D692&lt;40000,"Low Income",D692&lt;=80000,"Moderate Income",D692&gt;80000,"High Income")</f>
        <v>High Income</v>
      </c>
      <c r="F692">
        <v>1</v>
      </c>
      <c r="G692" t="s">
        <v>15</v>
      </c>
      <c r="H692" t="s">
        <v>31</v>
      </c>
      <c r="I692" t="s">
        <v>20</v>
      </c>
      <c r="J692">
        <v>1</v>
      </c>
      <c r="K692" t="s">
        <v>24</v>
      </c>
      <c r="L692" t="s">
        <v>35</v>
      </c>
      <c r="M692">
        <v>45</v>
      </c>
      <c r="N692" t="str">
        <f t="shared" si="10"/>
        <v>Middle-Aged</v>
      </c>
      <c r="O692" t="s">
        <v>20</v>
      </c>
    </row>
    <row r="693" spans="1:15">
      <c r="A693">
        <v>23144</v>
      </c>
      <c r="B693" t="s">
        <v>63</v>
      </c>
      <c r="C693" t="s">
        <v>49</v>
      </c>
      <c r="D693" s="1">
        <v>50000</v>
      </c>
      <c r="E693" t="str" cm="1">
        <f t="array" ref="E693">_xlfn.IFS(D693&lt;40000,"Low Income",D693&lt;=80000,"Moderate Income",D693&gt;80000,"High Income")</f>
        <v>Moderate Income</v>
      </c>
      <c r="F693">
        <v>1</v>
      </c>
      <c r="G693" t="s">
        <v>15</v>
      </c>
      <c r="H693" t="s">
        <v>16</v>
      </c>
      <c r="I693" t="s">
        <v>17</v>
      </c>
      <c r="J693">
        <v>0</v>
      </c>
      <c r="K693" t="s">
        <v>18</v>
      </c>
      <c r="L693" t="s">
        <v>35</v>
      </c>
      <c r="M693">
        <v>34</v>
      </c>
      <c r="N693" t="str">
        <f t="shared" si="10"/>
        <v>Middle-Aged</v>
      </c>
      <c r="O693" t="s">
        <v>17</v>
      </c>
    </row>
    <row r="694" spans="1:15">
      <c r="A694">
        <v>23376</v>
      </c>
      <c r="B694" t="s">
        <v>63</v>
      </c>
      <c r="C694" t="s">
        <v>49</v>
      </c>
      <c r="D694" s="1">
        <v>70000</v>
      </c>
      <c r="E694" t="str" cm="1">
        <f t="array" ref="E694">_xlfn.IFS(D694&lt;40000,"Low Income",D694&lt;=80000,"Moderate Income",D694&gt;80000,"High Income")</f>
        <v>Moderate Income</v>
      </c>
      <c r="F694">
        <v>1</v>
      </c>
      <c r="G694" t="s">
        <v>15</v>
      </c>
      <c r="H694" t="s">
        <v>23</v>
      </c>
      <c r="I694" t="s">
        <v>17</v>
      </c>
      <c r="J694">
        <v>1</v>
      </c>
      <c r="K694" t="s">
        <v>24</v>
      </c>
      <c r="L694" t="s">
        <v>35</v>
      </c>
      <c r="M694">
        <v>44</v>
      </c>
      <c r="N694" t="str">
        <f t="shared" si="10"/>
        <v>Middle-Aged</v>
      </c>
      <c r="O694" t="s">
        <v>17</v>
      </c>
    </row>
    <row r="695" spans="1:15">
      <c r="A695">
        <v>25970</v>
      </c>
      <c r="B695" t="s">
        <v>64</v>
      </c>
      <c r="C695" t="s">
        <v>47</v>
      </c>
      <c r="D695" s="1">
        <v>60000</v>
      </c>
      <c r="E695" t="str" cm="1">
        <f t="array" ref="E695">_xlfn.IFS(D695&lt;40000,"Low Income",D695&lt;=80000,"Moderate Income",D695&gt;80000,"High Income")</f>
        <v>Moderate Income</v>
      </c>
      <c r="F695">
        <v>4</v>
      </c>
      <c r="G695" t="s">
        <v>15</v>
      </c>
      <c r="H695" t="s">
        <v>16</v>
      </c>
      <c r="I695" t="s">
        <v>20</v>
      </c>
      <c r="J695">
        <v>2</v>
      </c>
      <c r="K695" t="s">
        <v>18</v>
      </c>
      <c r="L695" t="s">
        <v>35</v>
      </c>
      <c r="M695">
        <v>41</v>
      </c>
      <c r="N695" t="str">
        <f t="shared" si="10"/>
        <v>Middle-Aged</v>
      </c>
      <c r="O695" t="s">
        <v>17</v>
      </c>
    </row>
    <row r="696" spans="1:15">
      <c r="A696">
        <v>28068</v>
      </c>
      <c r="B696" t="s">
        <v>64</v>
      </c>
      <c r="C696" t="s">
        <v>47</v>
      </c>
      <c r="D696" s="1">
        <v>80000</v>
      </c>
      <c r="E696" t="str" cm="1">
        <f t="array" ref="E696">_xlfn.IFS(D696&lt;40000,"Low Income",D696&lt;=80000,"Moderate Income",D696&gt;80000,"High Income")</f>
        <v>Moderate Income</v>
      </c>
      <c r="F696">
        <v>3</v>
      </c>
      <c r="G696" t="s">
        <v>34</v>
      </c>
      <c r="H696" t="s">
        <v>23</v>
      </c>
      <c r="I696" t="s">
        <v>20</v>
      </c>
      <c r="J696">
        <v>0</v>
      </c>
      <c r="K696" t="s">
        <v>18</v>
      </c>
      <c r="L696" t="s">
        <v>35</v>
      </c>
      <c r="M696">
        <v>36</v>
      </c>
      <c r="N696" t="str">
        <f t="shared" si="10"/>
        <v>Middle-Aged</v>
      </c>
      <c r="O696" t="s">
        <v>17</v>
      </c>
    </row>
    <row r="697" spans="1:15">
      <c r="A697">
        <v>18390</v>
      </c>
      <c r="B697" t="s">
        <v>63</v>
      </c>
      <c r="C697" t="s">
        <v>49</v>
      </c>
      <c r="D697" s="1">
        <v>80000</v>
      </c>
      <c r="E697" t="str" cm="1">
        <f t="array" ref="E697">_xlfn.IFS(D697&lt;40000,"Low Income",D697&lt;=80000,"Moderate Income",D697&gt;80000,"High Income")</f>
        <v>Moderate Income</v>
      </c>
      <c r="F697">
        <v>5</v>
      </c>
      <c r="G697" t="s">
        <v>21</v>
      </c>
      <c r="H697" t="s">
        <v>23</v>
      </c>
      <c r="I697" t="s">
        <v>17</v>
      </c>
      <c r="J697">
        <v>2</v>
      </c>
      <c r="K697" t="s">
        <v>18</v>
      </c>
      <c r="L697" t="s">
        <v>35</v>
      </c>
      <c r="M697">
        <v>44</v>
      </c>
      <c r="N697" t="str">
        <f t="shared" si="10"/>
        <v>Middle-Aged</v>
      </c>
      <c r="O697" t="s">
        <v>20</v>
      </c>
    </row>
    <row r="698" spans="1:15">
      <c r="A698">
        <v>29112</v>
      </c>
      <c r="B698" t="s">
        <v>64</v>
      </c>
      <c r="C698" t="s">
        <v>49</v>
      </c>
      <c r="D698" s="1">
        <v>60000</v>
      </c>
      <c r="E698" t="str" cm="1">
        <f t="array" ref="E698">_xlfn.IFS(D698&lt;40000,"Low Income",D698&lt;=80000,"Moderate Income",D698&gt;80000,"High Income")</f>
        <v>Moderate Income</v>
      </c>
      <c r="F698">
        <v>0</v>
      </c>
      <c r="G698" t="s">
        <v>21</v>
      </c>
      <c r="H698" t="s">
        <v>23</v>
      </c>
      <c r="I698" t="s">
        <v>20</v>
      </c>
      <c r="J698">
        <v>2</v>
      </c>
      <c r="K698" t="s">
        <v>29</v>
      </c>
      <c r="L698" t="s">
        <v>35</v>
      </c>
      <c r="M698">
        <v>30</v>
      </c>
      <c r="N698" t="str">
        <f t="shared" si="10"/>
        <v>Young Adults</v>
      </c>
      <c r="O698" t="s">
        <v>20</v>
      </c>
    </row>
    <row r="699" spans="1:15">
      <c r="A699">
        <v>14090</v>
      </c>
      <c r="B699" t="s">
        <v>63</v>
      </c>
      <c r="C699" t="s">
        <v>47</v>
      </c>
      <c r="D699" s="1">
        <v>30000</v>
      </c>
      <c r="E699" t="str" cm="1">
        <f t="array" ref="E699">_xlfn.IFS(D699&lt;40000,"Low Income",D699&lt;=80000,"Moderate Income",D699&gt;80000,"High Income")</f>
        <v>Low Income</v>
      </c>
      <c r="F699">
        <v>0</v>
      </c>
      <c r="G699" t="s">
        <v>32</v>
      </c>
      <c r="H699" t="s">
        <v>22</v>
      </c>
      <c r="I699" t="s">
        <v>20</v>
      </c>
      <c r="J699">
        <v>2</v>
      </c>
      <c r="K699" t="s">
        <v>18</v>
      </c>
      <c r="L699" t="s">
        <v>35</v>
      </c>
      <c r="M699">
        <v>28</v>
      </c>
      <c r="N699" t="str">
        <f t="shared" si="10"/>
        <v>Young Adults</v>
      </c>
      <c r="O699" t="s">
        <v>20</v>
      </c>
    </row>
    <row r="700" spans="1:15">
      <c r="A700">
        <v>27040</v>
      </c>
      <c r="B700" t="s">
        <v>63</v>
      </c>
      <c r="C700" t="s">
        <v>49</v>
      </c>
      <c r="D700" s="1">
        <v>20000</v>
      </c>
      <c r="E700" t="str" cm="1">
        <f t="array" ref="E700">_xlfn.IFS(D700&lt;40000,"Low Income",D700&lt;=80000,"Moderate Income",D700&gt;80000,"High Income")</f>
        <v>Low Income</v>
      </c>
      <c r="F700">
        <v>2</v>
      </c>
      <c r="G700" t="s">
        <v>32</v>
      </c>
      <c r="H700" t="s">
        <v>22</v>
      </c>
      <c r="I700" t="s">
        <v>17</v>
      </c>
      <c r="J700">
        <v>2</v>
      </c>
      <c r="K700" t="s">
        <v>29</v>
      </c>
      <c r="L700" t="s">
        <v>35</v>
      </c>
      <c r="M700">
        <v>49</v>
      </c>
      <c r="N700" t="str">
        <f t="shared" si="10"/>
        <v>Middle-Aged</v>
      </c>
      <c r="O700" t="s">
        <v>20</v>
      </c>
    </row>
    <row r="701" spans="1:15">
      <c r="A701">
        <v>23479</v>
      </c>
      <c r="B701" t="s">
        <v>64</v>
      </c>
      <c r="C701" t="s">
        <v>49</v>
      </c>
      <c r="D701" s="1">
        <v>90000</v>
      </c>
      <c r="E701" t="str" cm="1">
        <f t="array" ref="E701">_xlfn.IFS(D701&lt;40000,"Low Income",D701&lt;=80000,"Moderate Income",D701&gt;80000,"High Income")</f>
        <v>High Income</v>
      </c>
      <c r="F701">
        <v>0</v>
      </c>
      <c r="G701" t="s">
        <v>21</v>
      </c>
      <c r="H701" t="s">
        <v>23</v>
      </c>
      <c r="I701" t="s">
        <v>20</v>
      </c>
      <c r="J701">
        <v>2</v>
      </c>
      <c r="K701" t="s">
        <v>18</v>
      </c>
      <c r="L701" t="s">
        <v>35</v>
      </c>
      <c r="M701">
        <v>43</v>
      </c>
      <c r="N701" t="str">
        <f t="shared" si="10"/>
        <v>Middle-Aged</v>
      </c>
      <c r="O701" t="s">
        <v>17</v>
      </c>
    </row>
    <row r="702" spans="1:15">
      <c r="A702">
        <v>16795</v>
      </c>
      <c r="B702" t="s">
        <v>63</v>
      </c>
      <c r="C702" t="s">
        <v>47</v>
      </c>
      <c r="D702" s="1">
        <v>70000</v>
      </c>
      <c r="E702" t="str" cm="1">
        <f t="array" ref="E702">_xlfn.IFS(D702&lt;40000,"Low Income",D702&lt;=80000,"Moderate Income",D702&gt;80000,"High Income")</f>
        <v>Moderate Income</v>
      </c>
      <c r="F702">
        <v>4</v>
      </c>
      <c r="G702" t="s">
        <v>15</v>
      </c>
      <c r="H702" t="s">
        <v>31</v>
      </c>
      <c r="I702" t="s">
        <v>17</v>
      </c>
      <c r="J702">
        <v>1</v>
      </c>
      <c r="K702" t="s">
        <v>29</v>
      </c>
      <c r="L702" t="s">
        <v>35</v>
      </c>
      <c r="M702">
        <v>59</v>
      </c>
      <c r="N702" t="str">
        <f t="shared" si="10"/>
        <v>Middle-Aged</v>
      </c>
      <c r="O702" t="s">
        <v>20</v>
      </c>
    </row>
    <row r="703" spans="1:15">
      <c r="A703">
        <v>22014</v>
      </c>
      <c r="B703" t="s">
        <v>64</v>
      </c>
      <c r="C703" t="s">
        <v>49</v>
      </c>
      <c r="D703" s="1">
        <v>30000</v>
      </c>
      <c r="E703" t="str" cm="1">
        <f t="array" ref="E703">_xlfn.IFS(D703&lt;40000,"Low Income",D703&lt;=80000,"Moderate Income",D703&gt;80000,"High Income")</f>
        <v>Low Income</v>
      </c>
      <c r="F703">
        <v>0</v>
      </c>
      <c r="G703" t="s">
        <v>30</v>
      </c>
      <c r="H703" t="s">
        <v>16</v>
      </c>
      <c r="I703" t="s">
        <v>17</v>
      </c>
      <c r="J703">
        <v>2</v>
      </c>
      <c r="K703" t="s">
        <v>26</v>
      </c>
      <c r="L703" t="s">
        <v>35</v>
      </c>
      <c r="M703">
        <v>26</v>
      </c>
      <c r="N703" t="str">
        <f t="shared" si="10"/>
        <v>Young Adults</v>
      </c>
      <c r="O703" t="s">
        <v>20</v>
      </c>
    </row>
    <row r="704" spans="1:15">
      <c r="A704">
        <v>13314</v>
      </c>
      <c r="B704" t="s">
        <v>63</v>
      </c>
      <c r="C704" t="s">
        <v>49</v>
      </c>
      <c r="D704" s="1">
        <v>120000</v>
      </c>
      <c r="E704" t="str" cm="1">
        <f t="array" ref="E704">_xlfn.IFS(D704&lt;40000,"Low Income",D704&lt;=80000,"Moderate Income",D704&gt;80000,"High Income")</f>
        <v>High Income</v>
      </c>
      <c r="F704">
        <v>1</v>
      </c>
      <c r="G704" t="s">
        <v>30</v>
      </c>
      <c r="H704" t="s">
        <v>23</v>
      </c>
      <c r="I704" t="s">
        <v>17</v>
      </c>
      <c r="J704">
        <v>4</v>
      </c>
      <c r="K704" t="s">
        <v>26</v>
      </c>
      <c r="L704" t="s">
        <v>35</v>
      </c>
      <c r="M704">
        <v>46</v>
      </c>
      <c r="N704" t="str">
        <f t="shared" si="10"/>
        <v>Middle-Aged</v>
      </c>
      <c r="O704" t="s">
        <v>17</v>
      </c>
    </row>
    <row r="705" spans="1:15">
      <c r="A705">
        <v>11619</v>
      </c>
      <c r="B705" t="s">
        <v>64</v>
      </c>
      <c r="C705" t="s">
        <v>47</v>
      </c>
      <c r="D705" s="1">
        <v>50000</v>
      </c>
      <c r="E705" t="str" cm="1">
        <f t="array" ref="E705">_xlfn.IFS(D705&lt;40000,"Low Income",D705&lt;=80000,"Moderate Income",D705&gt;80000,"High Income")</f>
        <v>Moderate Income</v>
      </c>
      <c r="F705">
        <v>0</v>
      </c>
      <c r="G705" t="s">
        <v>34</v>
      </c>
      <c r="H705" t="s">
        <v>16</v>
      </c>
      <c r="I705" t="s">
        <v>17</v>
      </c>
      <c r="J705">
        <v>0</v>
      </c>
      <c r="K705" t="s">
        <v>29</v>
      </c>
      <c r="L705" t="s">
        <v>35</v>
      </c>
      <c r="M705">
        <v>33</v>
      </c>
      <c r="N705" t="str">
        <f t="shared" si="10"/>
        <v>Middle-Aged</v>
      </c>
      <c r="O705" t="s">
        <v>20</v>
      </c>
    </row>
    <row r="706" spans="1:15">
      <c r="A706">
        <v>29132</v>
      </c>
      <c r="B706" t="s">
        <v>64</v>
      </c>
      <c r="C706" t="s">
        <v>47</v>
      </c>
      <c r="D706" s="1">
        <v>40000</v>
      </c>
      <c r="E706" t="str" cm="1">
        <f t="array" ref="E706">_xlfn.IFS(D706&lt;40000,"Low Income",D706&lt;=80000,"Moderate Income",D706&gt;80000,"High Income")</f>
        <v>Moderate Income</v>
      </c>
      <c r="F706">
        <v>0</v>
      </c>
      <c r="G706" t="s">
        <v>15</v>
      </c>
      <c r="H706" t="s">
        <v>23</v>
      </c>
      <c r="I706" t="s">
        <v>17</v>
      </c>
      <c r="J706">
        <v>1</v>
      </c>
      <c r="K706" t="s">
        <v>24</v>
      </c>
      <c r="L706" t="s">
        <v>35</v>
      </c>
      <c r="M706">
        <v>42</v>
      </c>
      <c r="N706" t="str">
        <f t="shared" si="10"/>
        <v>Middle-Aged</v>
      </c>
      <c r="O706" t="s">
        <v>17</v>
      </c>
    </row>
    <row r="707" spans="1:15">
      <c r="A707">
        <v>11199</v>
      </c>
      <c r="B707" t="s">
        <v>63</v>
      </c>
      <c r="C707" t="s">
        <v>47</v>
      </c>
      <c r="D707" s="1">
        <v>70000</v>
      </c>
      <c r="E707" t="str" cm="1">
        <f t="array" ref="E707">_xlfn.IFS(D707&lt;40000,"Low Income",D707&lt;=80000,"Moderate Income",D707&gt;80000,"High Income")</f>
        <v>Moderate Income</v>
      </c>
      <c r="F707">
        <v>4</v>
      </c>
      <c r="G707" t="s">
        <v>15</v>
      </c>
      <c r="H707" t="s">
        <v>31</v>
      </c>
      <c r="I707" t="s">
        <v>17</v>
      </c>
      <c r="J707">
        <v>1</v>
      </c>
      <c r="K707" t="s">
        <v>61</v>
      </c>
      <c r="L707" t="s">
        <v>35</v>
      </c>
      <c r="M707">
        <v>59</v>
      </c>
      <c r="N707" t="str">
        <f t="shared" ref="N707:N770" si="11">IF(M707&gt;=60,"Seniors",IF(M707&gt;30,"Middle-Aged",IF(M707&lt;=30,"Young Adults")))</f>
        <v>Middle-Aged</v>
      </c>
      <c r="O707" t="s">
        <v>20</v>
      </c>
    </row>
    <row r="708" spans="1:15">
      <c r="A708">
        <v>20296</v>
      </c>
      <c r="B708" t="s">
        <v>64</v>
      </c>
      <c r="C708" t="s">
        <v>47</v>
      </c>
      <c r="D708" s="1">
        <v>60000</v>
      </c>
      <c r="E708" t="str" cm="1">
        <f t="array" ref="E708">_xlfn.IFS(D708&lt;40000,"Low Income",D708&lt;=80000,"Moderate Income",D708&gt;80000,"High Income")</f>
        <v>Moderate Income</v>
      </c>
      <c r="F708">
        <v>0</v>
      </c>
      <c r="G708" t="s">
        <v>21</v>
      </c>
      <c r="H708" t="s">
        <v>16</v>
      </c>
      <c r="I708" t="s">
        <v>20</v>
      </c>
      <c r="J708">
        <v>1</v>
      </c>
      <c r="K708" t="s">
        <v>29</v>
      </c>
      <c r="L708" t="s">
        <v>35</v>
      </c>
      <c r="M708">
        <v>33</v>
      </c>
      <c r="N708" t="str">
        <f t="shared" si="11"/>
        <v>Middle-Aged</v>
      </c>
      <c r="O708" t="s">
        <v>17</v>
      </c>
    </row>
    <row r="709" spans="1:15">
      <c r="A709">
        <v>17546</v>
      </c>
      <c r="B709" t="s">
        <v>63</v>
      </c>
      <c r="C709" t="s">
        <v>47</v>
      </c>
      <c r="D709" s="1">
        <v>70000</v>
      </c>
      <c r="E709" t="str" cm="1">
        <f t="array" ref="E709">_xlfn.IFS(D709&lt;40000,"Low Income",D709&lt;=80000,"Moderate Income",D709&gt;80000,"High Income")</f>
        <v>Moderate Income</v>
      </c>
      <c r="F709">
        <v>1</v>
      </c>
      <c r="G709" t="s">
        <v>21</v>
      </c>
      <c r="H709" t="s">
        <v>16</v>
      </c>
      <c r="I709" t="s">
        <v>17</v>
      </c>
      <c r="J709">
        <v>1</v>
      </c>
      <c r="K709" t="s">
        <v>18</v>
      </c>
      <c r="L709" t="s">
        <v>35</v>
      </c>
      <c r="M709">
        <v>44</v>
      </c>
      <c r="N709" t="str">
        <f t="shared" si="11"/>
        <v>Middle-Aged</v>
      </c>
      <c r="O709" t="s">
        <v>17</v>
      </c>
    </row>
    <row r="710" spans="1:15">
      <c r="A710">
        <v>18069</v>
      </c>
      <c r="B710" t="s">
        <v>63</v>
      </c>
      <c r="C710" t="s">
        <v>49</v>
      </c>
      <c r="D710" s="1">
        <v>70000</v>
      </c>
      <c r="E710" t="str" cm="1">
        <f t="array" ref="E710">_xlfn.IFS(D710&lt;40000,"Low Income",D710&lt;=80000,"Moderate Income",D710&gt;80000,"High Income")</f>
        <v>Moderate Income</v>
      </c>
      <c r="F710">
        <v>5</v>
      </c>
      <c r="G710" t="s">
        <v>15</v>
      </c>
      <c r="H710" t="s">
        <v>31</v>
      </c>
      <c r="I710" t="s">
        <v>17</v>
      </c>
      <c r="J710">
        <v>4</v>
      </c>
      <c r="K710" t="s">
        <v>61</v>
      </c>
      <c r="L710" t="s">
        <v>35</v>
      </c>
      <c r="M710">
        <v>60</v>
      </c>
      <c r="N710" t="str">
        <f t="shared" si="11"/>
        <v>Seniors</v>
      </c>
      <c r="O710" t="s">
        <v>20</v>
      </c>
    </row>
    <row r="711" spans="1:15">
      <c r="A711">
        <v>23712</v>
      </c>
      <c r="B711" t="s">
        <v>64</v>
      </c>
      <c r="C711" t="s">
        <v>47</v>
      </c>
      <c r="D711" s="1">
        <v>70000</v>
      </c>
      <c r="E711" t="str" cm="1">
        <f t="array" ref="E711">_xlfn.IFS(D711&lt;40000,"Low Income",D711&lt;=80000,"Moderate Income",D711&gt;80000,"High Income")</f>
        <v>Moderate Income</v>
      </c>
      <c r="F711">
        <v>2</v>
      </c>
      <c r="G711" t="s">
        <v>15</v>
      </c>
      <c r="H711" t="s">
        <v>31</v>
      </c>
      <c r="I711" t="s">
        <v>17</v>
      </c>
      <c r="J711">
        <v>1</v>
      </c>
      <c r="K711" t="s">
        <v>61</v>
      </c>
      <c r="L711" t="s">
        <v>35</v>
      </c>
      <c r="M711">
        <v>59</v>
      </c>
      <c r="N711" t="str">
        <f t="shared" si="11"/>
        <v>Middle-Aged</v>
      </c>
      <c r="O711" t="s">
        <v>20</v>
      </c>
    </row>
    <row r="712" spans="1:15">
      <c r="A712">
        <v>23358</v>
      </c>
      <c r="B712" t="s">
        <v>63</v>
      </c>
      <c r="C712" t="s">
        <v>49</v>
      </c>
      <c r="D712" s="1">
        <v>60000</v>
      </c>
      <c r="E712" t="str" cm="1">
        <f t="array" ref="E712">_xlfn.IFS(D712&lt;40000,"Low Income",D712&lt;=80000,"Moderate Income",D712&gt;80000,"High Income")</f>
        <v>Moderate Income</v>
      </c>
      <c r="F712">
        <v>0</v>
      </c>
      <c r="G712" t="s">
        <v>30</v>
      </c>
      <c r="H712" t="s">
        <v>23</v>
      </c>
      <c r="I712" t="s">
        <v>17</v>
      </c>
      <c r="J712">
        <v>2</v>
      </c>
      <c r="K712" t="s">
        <v>26</v>
      </c>
      <c r="L712" t="s">
        <v>35</v>
      </c>
      <c r="M712">
        <v>32</v>
      </c>
      <c r="N712" t="str">
        <f t="shared" si="11"/>
        <v>Middle-Aged</v>
      </c>
      <c r="O712" t="s">
        <v>17</v>
      </c>
    </row>
    <row r="713" spans="1:15">
      <c r="A713">
        <v>20518</v>
      </c>
      <c r="B713" t="s">
        <v>63</v>
      </c>
      <c r="C713" t="s">
        <v>47</v>
      </c>
      <c r="D713" s="1">
        <v>70000</v>
      </c>
      <c r="E713" t="str" cm="1">
        <f t="array" ref="E713">_xlfn.IFS(D713&lt;40000,"Low Income",D713&lt;=80000,"Moderate Income",D713&gt;80000,"High Income")</f>
        <v>Moderate Income</v>
      </c>
      <c r="F713">
        <v>2</v>
      </c>
      <c r="G713" t="s">
        <v>21</v>
      </c>
      <c r="H713" t="s">
        <v>23</v>
      </c>
      <c r="I713" t="s">
        <v>17</v>
      </c>
      <c r="J713">
        <v>1</v>
      </c>
      <c r="K713" t="s">
        <v>61</v>
      </c>
      <c r="L713" t="s">
        <v>35</v>
      </c>
      <c r="M713">
        <v>58</v>
      </c>
      <c r="N713" t="str">
        <f t="shared" si="11"/>
        <v>Middle-Aged</v>
      </c>
      <c r="O713" t="s">
        <v>20</v>
      </c>
    </row>
    <row r="714" spans="1:15">
      <c r="A714">
        <v>28026</v>
      </c>
      <c r="B714" t="s">
        <v>63</v>
      </c>
      <c r="C714" t="s">
        <v>47</v>
      </c>
      <c r="D714" s="1">
        <v>40000</v>
      </c>
      <c r="E714" t="str" cm="1">
        <f t="array" ref="E714">_xlfn.IFS(D714&lt;40000,"Low Income",D714&lt;=80000,"Moderate Income",D714&gt;80000,"High Income")</f>
        <v>Moderate Income</v>
      </c>
      <c r="F714">
        <v>2</v>
      </c>
      <c r="G714" t="s">
        <v>30</v>
      </c>
      <c r="H714" t="s">
        <v>23</v>
      </c>
      <c r="I714" t="s">
        <v>20</v>
      </c>
      <c r="J714">
        <v>2</v>
      </c>
      <c r="K714" t="s">
        <v>24</v>
      </c>
      <c r="L714" t="s">
        <v>35</v>
      </c>
      <c r="M714">
        <v>59</v>
      </c>
      <c r="N714" t="str">
        <f t="shared" si="11"/>
        <v>Middle-Aged</v>
      </c>
      <c r="O714" t="s">
        <v>20</v>
      </c>
    </row>
    <row r="715" spans="1:15">
      <c r="A715">
        <v>11669</v>
      </c>
      <c r="B715" t="s">
        <v>64</v>
      </c>
      <c r="C715" t="s">
        <v>47</v>
      </c>
      <c r="D715" s="1">
        <v>70000</v>
      </c>
      <c r="E715" t="str" cm="1">
        <f t="array" ref="E715">_xlfn.IFS(D715&lt;40000,"Low Income",D715&lt;=80000,"Moderate Income",D715&gt;80000,"High Income")</f>
        <v>Moderate Income</v>
      </c>
      <c r="F715">
        <v>2</v>
      </c>
      <c r="G715" t="s">
        <v>15</v>
      </c>
      <c r="H715" t="s">
        <v>16</v>
      </c>
      <c r="I715" t="s">
        <v>17</v>
      </c>
      <c r="J715">
        <v>1</v>
      </c>
      <c r="K715" t="s">
        <v>24</v>
      </c>
      <c r="L715" t="s">
        <v>35</v>
      </c>
      <c r="M715">
        <v>38</v>
      </c>
      <c r="N715" t="str">
        <f t="shared" si="11"/>
        <v>Middle-Aged</v>
      </c>
      <c r="O715" t="s">
        <v>20</v>
      </c>
    </row>
    <row r="716" spans="1:15">
      <c r="A716">
        <v>16020</v>
      </c>
      <c r="B716" t="s">
        <v>63</v>
      </c>
      <c r="C716" t="s">
        <v>49</v>
      </c>
      <c r="D716" s="1">
        <v>40000</v>
      </c>
      <c r="E716" t="str" cm="1">
        <f t="array" ref="E716">_xlfn.IFS(D716&lt;40000,"Low Income",D716&lt;=80000,"Moderate Income",D716&gt;80000,"High Income")</f>
        <v>Moderate Income</v>
      </c>
      <c r="F716">
        <v>0</v>
      </c>
      <c r="G716" t="s">
        <v>30</v>
      </c>
      <c r="H716" t="s">
        <v>16</v>
      </c>
      <c r="I716" t="s">
        <v>17</v>
      </c>
      <c r="J716">
        <v>2</v>
      </c>
      <c r="K716" t="s">
        <v>26</v>
      </c>
      <c r="L716" t="s">
        <v>35</v>
      </c>
      <c r="M716">
        <v>28</v>
      </c>
      <c r="N716" t="str">
        <f t="shared" si="11"/>
        <v>Young Adults</v>
      </c>
      <c r="O716" t="s">
        <v>17</v>
      </c>
    </row>
    <row r="717" spans="1:15">
      <c r="A717">
        <v>27090</v>
      </c>
      <c r="B717" t="s">
        <v>63</v>
      </c>
      <c r="C717" t="s">
        <v>47</v>
      </c>
      <c r="D717" s="1">
        <v>60000</v>
      </c>
      <c r="E717" t="str" cm="1">
        <f t="array" ref="E717">_xlfn.IFS(D717&lt;40000,"Low Income",D717&lt;=80000,"Moderate Income",D717&gt;80000,"High Income")</f>
        <v>Moderate Income</v>
      </c>
      <c r="F717">
        <v>1</v>
      </c>
      <c r="G717" t="s">
        <v>34</v>
      </c>
      <c r="H717" t="s">
        <v>23</v>
      </c>
      <c r="I717" t="s">
        <v>17</v>
      </c>
      <c r="J717">
        <v>0</v>
      </c>
      <c r="K717" t="s">
        <v>24</v>
      </c>
      <c r="L717" t="s">
        <v>35</v>
      </c>
      <c r="M717">
        <v>37</v>
      </c>
      <c r="N717" t="str">
        <f t="shared" si="11"/>
        <v>Middle-Aged</v>
      </c>
      <c r="O717" t="s">
        <v>17</v>
      </c>
    </row>
    <row r="718" spans="1:15">
      <c r="A718">
        <v>27198</v>
      </c>
      <c r="B718" t="s">
        <v>64</v>
      </c>
      <c r="C718" t="s">
        <v>47</v>
      </c>
      <c r="D718" s="1">
        <v>80000</v>
      </c>
      <c r="E718" t="str" cm="1">
        <f t="array" ref="E718">_xlfn.IFS(D718&lt;40000,"Low Income",D718&lt;=80000,"Moderate Income",D718&gt;80000,"High Income")</f>
        <v>Moderate Income</v>
      </c>
      <c r="F718">
        <v>0</v>
      </c>
      <c r="G718" t="s">
        <v>34</v>
      </c>
      <c r="H718" t="s">
        <v>16</v>
      </c>
      <c r="I718" t="s">
        <v>20</v>
      </c>
      <c r="J718">
        <v>0</v>
      </c>
      <c r="K718" t="s">
        <v>18</v>
      </c>
      <c r="L718" t="s">
        <v>35</v>
      </c>
      <c r="M718">
        <v>40</v>
      </c>
      <c r="N718" t="str">
        <f t="shared" si="11"/>
        <v>Middle-Aged</v>
      </c>
      <c r="O718" t="s">
        <v>20</v>
      </c>
    </row>
    <row r="719" spans="1:15">
      <c r="A719">
        <v>19661</v>
      </c>
      <c r="B719" t="s">
        <v>64</v>
      </c>
      <c r="C719" t="s">
        <v>49</v>
      </c>
      <c r="D719" s="1">
        <v>90000</v>
      </c>
      <c r="E719" t="str" cm="1">
        <f t="array" ref="E719">_xlfn.IFS(D719&lt;40000,"Low Income",D719&lt;=80000,"Moderate Income",D719&gt;80000,"High Income")</f>
        <v>High Income</v>
      </c>
      <c r="F719">
        <v>4</v>
      </c>
      <c r="G719" t="s">
        <v>15</v>
      </c>
      <c r="H719" t="s">
        <v>31</v>
      </c>
      <c r="I719" t="s">
        <v>17</v>
      </c>
      <c r="J719">
        <v>1</v>
      </c>
      <c r="K719" t="s">
        <v>29</v>
      </c>
      <c r="L719" t="s">
        <v>35</v>
      </c>
      <c r="M719">
        <v>38</v>
      </c>
      <c r="N719" t="str">
        <f t="shared" si="11"/>
        <v>Middle-Aged</v>
      </c>
      <c r="O719" t="s">
        <v>17</v>
      </c>
    </row>
    <row r="720" spans="1:15">
      <c r="A720">
        <v>26327</v>
      </c>
      <c r="B720" t="s">
        <v>63</v>
      </c>
      <c r="C720" t="s">
        <v>49</v>
      </c>
      <c r="D720" s="1">
        <v>70000</v>
      </c>
      <c r="E720" t="str" cm="1">
        <f t="array" ref="E720">_xlfn.IFS(D720&lt;40000,"Low Income",D720&lt;=80000,"Moderate Income",D720&gt;80000,"High Income")</f>
        <v>Moderate Income</v>
      </c>
      <c r="F720">
        <v>4</v>
      </c>
      <c r="G720" t="s">
        <v>34</v>
      </c>
      <c r="H720" t="s">
        <v>23</v>
      </c>
      <c r="I720" t="s">
        <v>17</v>
      </c>
      <c r="J720">
        <v>0</v>
      </c>
      <c r="K720" t="s">
        <v>24</v>
      </c>
      <c r="L720" t="s">
        <v>35</v>
      </c>
      <c r="M720">
        <v>36</v>
      </c>
      <c r="N720" t="str">
        <f t="shared" si="11"/>
        <v>Middle-Aged</v>
      </c>
      <c r="O720" t="s">
        <v>17</v>
      </c>
    </row>
    <row r="721" spans="1:15">
      <c r="A721">
        <v>26341</v>
      </c>
      <c r="B721" t="s">
        <v>63</v>
      </c>
      <c r="C721" t="s">
        <v>47</v>
      </c>
      <c r="D721" s="1">
        <v>70000</v>
      </c>
      <c r="E721" t="str" cm="1">
        <f t="array" ref="E721">_xlfn.IFS(D721&lt;40000,"Low Income",D721&lt;=80000,"Moderate Income",D721&gt;80000,"High Income")</f>
        <v>Moderate Income</v>
      </c>
      <c r="F721">
        <v>5</v>
      </c>
      <c r="G721" t="s">
        <v>34</v>
      </c>
      <c r="H721" t="s">
        <v>23</v>
      </c>
      <c r="I721" t="s">
        <v>17</v>
      </c>
      <c r="J721">
        <v>2</v>
      </c>
      <c r="K721" t="s">
        <v>18</v>
      </c>
      <c r="L721" t="s">
        <v>35</v>
      </c>
      <c r="M721">
        <v>37</v>
      </c>
      <c r="N721" t="str">
        <f t="shared" si="11"/>
        <v>Middle-Aged</v>
      </c>
      <c r="O721" t="s">
        <v>20</v>
      </c>
    </row>
    <row r="722" spans="1:15">
      <c r="A722">
        <v>24958</v>
      </c>
      <c r="B722" t="s">
        <v>64</v>
      </c>
      <c r="C722" t="s">
        <v>47</v>
      </c>
      <c r="D722" s="1">
        <v>40000</v>
      </c>
      <c r="E722" t="str" cm="1">
        <f t="array" ref="E722">_xlfn.IFS(D722&lt;40000,"Low Income",D722&lt;=80000,"Moderate Income",D722&gt;80000,"High Income")</f>
        <v>Moderate Income</v>
      </c>
      <c r="F722">
        <v>5</v>
      </c>
      <c r="G722" t="s">
        <v>30</v>
      </c>
      <c r="H722" t="s">
        <v>23</v>
      </c>
      <c r="I722" t="s">
        <v>20</v>
      </c>
      <c r="J722">
        <v>3</v>
      </c>
      <c r="K722" t="s">
        <v>24</v>
      </c>
      <c r="L722" t="s">
        <v>35</v>
      </c>
      <c r="M722">
        <v>60</v>
      </c>
      <c r="N722" t="str">
        <f t="shared" si="11"/>
        <v>Seniors</v>
      </c>
      <c r="O722" t="s">
        <v>17</v>
      </c>
    </row>
    <row r="723" spans="1:15">
      <c r="A723">
        <v>13287</v>
      </c>
      <c r="B723" t="s">
        <v>64</v>
      </c>
      <c r="C723" t="s">
        <v>49</v>
      </c>
      <c r="D723" s="1">
        <v>110000</v>
      </c>
      <c r="E723" t="str" cm="1">
        <f t="array" ref="E723">_xlfn.IFS(D723&lt;40000,"Low Income",D723&lt;=80000,"Moderate Income",D723&gt;80000,"High Income")</f>
        <v>High Income</v>
      </c>
      <c r="F723">
        <v>4</v>
      </c>
      <c r="G723" t="s">
        <v>15</v>
      </c>
      <c r="H723" t="s">
        <v>31</v>
      </c>
      <c r="I723" t="s">
        <v>17</v>
      </c>
      <c r="J723">
        <v>4</v>
      </c>
      <c r="K723" t="s">
        <v>26</v>
      </c>
      <c r="L723" t="s">
        <v>35</v>
      </c>
      <c r="M723">
        <v>42</v>
      </c>
      <c r="N723" t="str">
        <f t="shared" si="11"/>
        <v>Middle-Aged</v>
      </c>
      <c r="O723" t="s">
        <v>17</v>
      </c>
    </row>
    <row r="724" spans="1:15">
      <c r="A724">
        <v>14493</v>
      </c>
      <c r="B724" t="s">
        <v>64</v>
      </c>
      <c r="C724" t="s">
        <v>47</v>
      </c>
      <c r="D724" s="1">
        <v>70000</v>
      </c>
      <c r="E724" t="str" cm="1">
        <f t="array" ref="E724">_xlfn.IFS(D724&lt;40000,"Low Income",D724&lt;=80000,"Moderate Income",D724&gt;80000,"High Income")</f>
        <v>Moderate Income</v>
      </c>
      <c r="F724">
        <v>3</v>
      </c>
      <c r="G724" t="s">
        <v>34</v>
      </c>
      <c r="H724" t="s">
        <v>31</v>
      </c>
      <c r="I724" t="s">
        <v>20</v>
      </c>
      <c r="J724">
        <v>2</v>
      </c>
      <c r="K724" t="s">
        <v>29</v>
      </c>
      <c r="L724" t="s">
        <v>35</v>
      </c>
      <c r="M724">
        <v>53</v>
      </c>
      <c r="N724" t="str">
        <f t="shared" si="11"/>
        <v>Middle-Aged</v>
      </c>
      <c r="O724" t="s">
        <v>20</v>
      </c>
    </row>
    <row r="725" spans="1:15">
      <c r="A725">
        <v>26678</v>
      </c>
      <c r="B725" t="s">
        <v>64</v>
      </c>
      <c r="C725" t="s">
        <v>47</v>
      </c>
      <c r="D725" s="1">
        <v>80000</v>
      </c>
      <c r="E725" t="str" cm="1">
        <f t="array" ref="E725">_xlfn.IFS(D725&lt;40000,"Low Income",D725&lt;=80000,"Moderate Income",D725&gt;80000,"High Income")</f>
        <v>Moderate Income</v>
      </c>
      <c r="F725">
        <v>2</v>
      </c>
      <c r="G725" t="s">
        <v>32</v>
      </c>
      <c r="H725" t="s">
        <v>16</v>
      </c>
      <c r="I725" t="s">
        <v>17</v>
      </c>
      <c r="J725">
        <v>2</v>
      </c>
      <c r="K725" t="s">
        <v>26</v>
      </c>
      <c r="L725" t="s">
        <v>35</v>
      </c>
      <c r="M725">
        <v>49</v>
      </c>
      <c r="N725" t="str">
        <f t="shared" si="11"/>
        <v>Middle-Aged</v>
      </c>
      <c r="O725" t="s">
        <v>20</v>
      </c>
    </row>
    <row r="726" spans="1:15">
      <c r="A726">
        <v>23275</v>
      </c>
      <c r="B726" t="s">
        <v>63</v>
      </c>
      <c r="C726" t="s">
        <v>49</v>
      </c>
      <c r="D726" s="1">
        <v>30000</v>
      </c>
      <c r="E726" t="str" cm="1">
        <f t="array" ref="E726">_xlfn.IFS(D726&lt;40000,"Low Income",D726&lt;=80000,"Moderate Income",D726&gt;80000,"High Income")</f>
        <v>Low Income</v>
      </c>
      <c r="F726">
        <v>2</v>
      </c>
      <c r="G726" t="s">
        <v>30</v>
      </c>
      <c r="H726" t="s">
        <v>16</v>
      </c>
      <c r="I726" t="s">
        <v>17</v>
      </c>
      <c r="J726">
        <v>2</v>
      </c>
      <c r="K726" t="s">
        <v>29</v>
      </c>
      <c r="L726" t="s">
        <v>35</v>
      </c>
      <c r="M726">
        <v>49</v>
      </c>
      <c r="N726" t="str">
        <f t="shared" si="11"/>
        <v>Middle-Aged</v>
      </c>
      <c r="O726" t="s">
        <v>20</v>
      </c>
    </row>
    <row r="727" spans="1:15">
      <c r="A727">
        <v>11270</v>
      </c>
      <c r="B727" t="s">
        <v>63</v>
      </c>
      <c r="C727" t="s">
        <v>49</v>
      </c>
      <c r="D727" s="1">
        <v>130000</v>
      </c>
      <c r="E727" t="str" cm="1">
        <f t="array" ref="E727">_xlfn.IFS(D727&lt;40000,"Low Income",D727&lt;=80000,"Moderate Income",D727&gt;80000,"High Income")</f>
        <v>High Income</v>
      </c>
      <c r="F727">
        <v>2</v>
      </c>
      <c r="G727" t="s">
        <v>34</v>
      </c>
      <c r="H727" t="s">
        <v>31</v>
      </c>
      <c r="I727" t="s">
        <v>17</v>
      </c>
      <c r="J727">
        <v>3</v>
      </c>
      <c r="K727" t="s">
        <v>18</v>
      </c>
      <c r="L727" t="s">
        <v>35</v>
      </c>
      <c r="M727">
        <v>42</v>
      </c>
      <c r="N727" t="str">
        <f t="shared" si="11"/>
        <v>Middle-Aged</v>
      </c>
      <c r="O727" t="s">
        <v>17</v>
      </c>
    </row>
    <row r="728" spans="1:15">
      <c r="A728">
        <v>20084</v>
      </c>
      <c r="B728" t="s">
        <v>63</v>
      </c>
      <c r="C728" t="s">
        <v>49</v>
      </c>
      <c r="D728" s="1">
        <v>20000</v>
      </c>
      <c r="E728" t="str" cm="1">
        <f t="array" ref="E728">_xlfn.IFS(D728&lt;40000,"Low Income",D728&lt;=80000,"Moderate Income",D728&gt;80000,"High Income")</f>
        <v>Low Income</v>
      </c>
      <c r="F728">
        <v>2</v>
      </c>
      <c r="G728" t="s">
        <v>30</v>
      </c>
      <c r="H728" t="s">
        <v>28</v>
      </c>
      <c r="I728" t="s">
        <v>20</v>
      </c>
      <c r="J728">
        <v>2</v>
      </c>
      <c r="K728" t="s">
        <v>18</v>
      </c>
      <c r="L728" t="s">
        <v>35</v>
      </c>
      <c r="M728">
        <v>53</v>
      </c>
      <c r="N728" t="str">
        <f t="shared" si="11"/>
        <v>Middle-Aged</v>
      </c>
      <c r="O728" t="s">
        <v>20</v>
      </c>
    </row>
    <row r="729" spans="1:15">
      <c r="A729">
        <v>16144</v>
      </c>
      <c r="B729" t="s">
        <v>63</v>
      </c>
      <c r="C729" t="s">
        <v>49</v>
      </c>
      <c r="D729" s="1">
        <v>70000</v>
      </c>
      <c r="E729" t="str" cm="1">
        <f t="array" ref="E729">_xlfn.IFS(D729&lt;40000,"Low Income",D729&lt;=80000,"Moderate Income",D729&gt;80000,"High Income")</f>
        <v>Moderate Income</v>
      </c>
      <c r="F729">
        <v>1</v>
      </c>
      <c r="G729" t="s">
        <v>34</v>
      </c>
      <c r="H729" t="s">
        <v>23</v>
      </c>
      <c r="I729" t="s">
        <v>17</v>
      </c>
      <c r="J729">
        <v>1</v>
      </c>
      <c r="K729" t="s">
        <v>18</v>
      </c>
      <c r="L729" t="s">
        <v>35</v>
      </c>
      <c r="M729">
        <v>46</v>
      </c>
      <c r="N729" t="str">
        <f t="shared" si="11"/>
        <v>Middle-Aged</v>
      </c>
      <c r="O729" t="s">
        <v>17</v>
      </c>
    </row>
    <row r="730" spans="1:15">
      <c r="A730">
        <v>27731</v>
      </c>
      <c r="B730" t="s">
        <v>63</v>
      </c>
      <c r="C730" t="s">
        <v>49</v>
      </c>
      <c r="D730" s="1">
        <v>40000</v>
      </c>
      <c r="E730" t="str" cm="1">
        <f t="array" ref="E730">_xlfn.IFS(D730&lt;40000,"Low Income",D730&lt;=80000,"Moderate Income",D730&gt;80000,"High Income")</f>
        <v>Moderate Income</v>
      </c>
      <c r="F730">
        <v>0</v>
      </c>
      <c r="G730" t="s">
        <v>30</v>
      </c>
      <c r="H730" t="s">
        <v>16</v>
      </c>
      <c r="I730" t="s">
        <v>17</v>
      </c>
      <c r="J730">
        <v>2</v>
      </c>
      <c r="K730" t="s">
        <v>26</v>
      </c>
      <c r="L730" t="s">
        <v>35</v>
      </c>
      <c r="M730">
        <v>27</v>
      </c>
      <c r="N730" t="str">
        <f t="shared" si="11"/>
        <v>Young Adults</v>
      </c>
      <c r="O730" t="s">
        <v>20</v>
      </c>
    </row>
    <row r="731" spans="1:15">
      <c r="A731">
        <v>11886</v>
      </c>
      <c r="B731" t="s">
        <v>63</v>
      </c>
      <c r="C731" t="s">
        <v>47</v>
      </c>
      <c r="D731" s="1">
        <v>60000</v>
      </c>
      <c r="E731" t="str" cm="1">
        <f t="array" ref="E731">_xlfn.IFS(D731&lt;40000,"Low Income",D731&lt;=80000,"Moderate Income",D731&gt;80000,"High Income")</f>
        <v>Moderate Income</v>
      </c>
      <c r="F731">
        <v>3</v>
      </c>
      <c r="G731" t="s">
        <v>15</v>
      </c>
      <c r="H731" t="s">
        <v>23</v>
      </c>
      <c r="I731" t="s">
        <v>17</v>
      </c>
      <c r="J731">
        <v>1</v>
      </c>
      <c r="K731" t="s">
        <v>18</v>
      </c>
      <c r="L731" t="s">
        <v>35</v>
      </c>
      <c r="M731">
        <v>48</v>
      </c>
      <c r="N731" t="str">
        <f t="shared" si="11"/>
        <v>Middle-Aged</v>
      </c>
      <c r="O731" t="s">
        <v>17</v>
      </c>
    </row>
    <row r="732" spans="1:15">
      <c r="A732">
        <v>24324</v>
      </c>
      <c r="B732" t="s">
        <v>64</v>
      </c>
      <c r="C732" t="s">
        <v>47</v>
      </c>
      <c r="D732" s="1">
        <v>60000</v>
      </c>
      <c r="E732" t="str" cm="1">
        <f t="array" ref="E732">_xlfn.IFS(D732&lt;40000,"Low Income",D732&lt;=80000,"Moderate Income",D732&gt;80000,"High Income")</f>
        <v>Moderate Income</v>
      </c>
      <c r="F732">
        <v>4</v>
      </c>
      <c r="G732" t="s">
        <v>15</v>
      </c>
      <c r="H732" t="s">
        <v>16</v>
      </c>
      <c r="I732" t="s">
        <v>17</v>
      </c>
      <c r="J732">
        <v>2</v>
      </c>
      <c r="K732" t="s">
        <v>24</v>
      </c>
      <c r="L732" t="s">
        <v>35</v>
      </c>
      <c r="M732">
        <v>41</v>
      </c>
      <c r="N732" t="str">
        <f t="shared" si="11"/>
        <v>Middle-Aged</v>
      </c>
      <c r="O732" t="s">
        <v>17</v>
      </c>
    </row>
    <row r="733" spans="1:15">
      <c r="A733">
        <v>22220</v>
      </c>
      <c r="B733" t="s">
        <v>63</v>
      </c>
      <c r="C733" t="s">
        <v>49</v>
      </c>
      <c r="D733" s="1">
        <v>60000</v>
      </c>
      <c r="E733" t="str" cm="1">
        <f t="array" ref="E733">_xlfn.IFS(D733&lt;40000,"Low Income",D733&lt;=80000,"Moderate Income",D733&gt;80000,"High Income")</f>
        <v>Moderate Income</v>
      </c>
      <c r="F733">
        <v>2</v>
      </c>
      <c r="G733" t="s">
        <v>30</v>
      </c>
      <c r="H733" t="s">
        <v>23</v>
      </c>
      <c r="I733" t="s">
        <v>20</v>
      </c>
      <c r="J733">
        <v>2</v>
      </c>
      <c r="K733" t="s">
        <v>29</v>
      </c>
      <c r="L733" t="s">
        <v>35</v>
      </c>
      <c r="M733">
        <v>49</v>
      </c>
      <c r="N733" t="str">
        <f t="shared" si="11"/>
        <v>Middle-Aged</v>
      </c>
      <c r="O733" t="s">
        <v>17</v>
      </c>
    </row>
    <row r="734" spans="1:15">
      <c r="A734">
        <v>26625</v>
      </c>
      <c r="B734" t="s">
        <v>64</v>
      </c>
      <c r="C734" t="s">
        <v>47</v>
      </c>
      <c r="D734" s="1">
        <v>60000</v>
      </c>
      <c r="E734" t="str" cm="1">
        <f t="array" ref="E734">_xlfn.IFS(D734&lt;40000,"Low Income",D734&lt;=80000,"Moderate Income",D734&gt;80000,"High Income")</f>
        <v>Moderate Income</v>
      </c>
      <c r="F734">
        <v>0</v>
      </c>
      <c r="G734" t="s">
        <v>34</v>
      </c>
      <c r="H734" t="s">
        <v>23</v>
      </c>
      <c r="I734" t="s">
        <v>17</v>
      </c>
      <c r="J734">
        <v>1</v>
      </c>
      <c r="K734" t="s">
        <v>24</v>
      </c>
      <c r="L734" t="s">
        <v>35</v>
      </c>
      <c r="M734">
        <v>38</v>
      </c>
      <c r="N734" t="str">
        <f t="shared" si="11"/>
        <v>Middle-Aged</v>
      </c>
      <c r="O734" t="s">
        <v>17</v>
      </c>
    </row>
    <row r="735" spans="1:15">
      <c r="A735">
        <v>23027</v>
      </c>
      <c r="B735" t="s">
        <v>64</v>
      </c>
      <c r="C735" t="s">
        <v>49</v>
      </c>
      <c r="D735" s="1">
        <v>130000</v>
      </c>
      <c r="E735" t="str" cm="1">
        <f t="array" ref="E735">_xlfn.IFS(D735&lt;40000,"Low Income",D735&lt;=80000,"Moderate Income",D735&gt;80000,"High Income")</f>
        <v>High Income</v>
      </c>
      <c r="F735">
        <v>1</v>
      </c>
      <c r="G735" t="s">
        <v>15</v>
      </c>
      <c r="H735" t="s">
        <v>31</v>
      </c>
      <c r="I735" t="s">
        <v>20</v>
      </c>
      <c r="J735">
        <v>4</v>
      </c>
      <c r="K735" t="s">
        <v>18</v>
      </c>
      <c r="L735" t="s">
        <v>35</v>
      </c>
      <c r="M735">
        <v>44</v>
      </c>
      <c r="N735" t="str">
        <f t="shared" si="11"/>
        <v>Middle-Aged</v>
      </c>
      <c r="O735" t="s">
        <v>20</v>
      </c>
    </row>
    <row r="736" spans="1:15">
      <c r="A736">
        <v>16867</v>
      </c>
      <c r="B736" t="s">
        <v>64</v>
      </c>
      <c r="C736" t="s">
        <v>47</v>
      </c>
      <c r="D736" s="1">
        <v>130000</v>
      </c>
      <c r="E736" t="str" cm="1">
        <f t="array" ref="E736">_xlfn.IFS(D736&lt;40000,"Low Income",D736&lt;=80000,"Moderate Income",D736&gt;80000,"High Income")</f>
        <v>High Income</v>
      </c>
      <c r="F736">
        <v>1</v>
      </c>
      <c r="G736" t="s">
        <v>15</v>
      </c>
      <c r="H736" t="s">
        <v>31</v>
      </c>
      <c r="I736" t="s">
        <v>20</v>
      </c>
      <c r="J736">
        <v>3</v>
      </c>
      <c r="K736" t="s">
        <v>18</v>
      </c>
      <c r="L736" t="s">
        <v>35</v>
      </c>
      <c r="M736">
        <v>45</v>
      </c>
      <c r="N736" t="str">
        <f t="shared" si="11"/>
        <v>Middle-Aged</v>
      </c>
      <c r="O736" t="s">
        <v>17</v>
      </c>
    </row>
    <row r="737" spans="1:15">
      <c r="A737">
        <v>14514</v>
      </c>
      <c r="B737" t="s">
        <v>64</v>
      </c>
      <c r="C737" t="s">
        <v>47</v>
      </c>
      <c r="D737" s="1">
        <v>30000</v>
      </c>
      <c r="E737" t="str" cm="1">
        <f t="array" ref="E737">_xlfn.IFS(D737&lt;40000,"Low Income",D737&lt;=80000,"Moderate Income",D737&gt;80000,"High Income")</f>
        <v>Low Income</v>
      </c>
      <c r="F737">
        <v>0</v>
      </c>
      <c r="G737" t="s">
        <v>21</v>
      </c>
      <c r="H737" t="s">
        <v>16</v>
      </c>
      <c r="I737" t="s">
        <v>17</v>
      </c>
      <c r="J737">
        <v>1</v>
      </c>
      <c r="K737" t="s">
        <v>26</v>
      </c>
      <c r="L737" t="s">
        <v>35</v>
      </c>
      <c r="M737">
        <v>26</v>
      </c>
      <c r="N737" t="str">
        <f t="shared" si="11"/>
        <v>Young Adults</v>
      </c>
      <c r="O737" t="s">
        <v>20</v>
      </c>
    </row>
    <row r="738" spans="1:15">
      <c r="A738">
        <v>19634</v>
      </c>
      <c r="B738" t="s">
        <v>63</v>
      </c>
      <c r="C738" t="s">
        <v>49</v>
      </c>
      <c r="D738" s="1">
        <v>40000</v>
      </c>
      <c r="E738" t="str" cm="1">
        <f t="array" ref="E738">_xlfn.IFS(D738&lt;40000,"Low Income",D738&lt;=80000,"Moderate Income",D738&gt;80000,"High Income")</f>
        <v>Moderate Income</v>
      </c>
      <c r="F738">
        <v>0</v>
      </c>
      <c r="G738" t="s">
        <v>30</v>
      </c>
      <c r="H738" t="s">
        <v>16</v>
      </c>
      <c r="I738" t="s">
        <v>17</v>
      </c>
      <c r="J738">
        <v>1</v>
      </c>
      <c r="K738" t="s">
        <v>26</v>
      </c>
      <c r="L738" t="s">
        <v>35</v>
      </c>
      <c r="M738">
        <v>31</v>
      </c>
      <c r="N738" t="str">
        <f t="shared" si="11"/>
        <v>Middle-Aged</v>
      </c>
      <c r="O738" t="s">
        <v>20</v>
      </c>
    </row>
    <row r="739" spans="1:15">
      <c r="A739">
        <v>18504</v>
      </c>
      <c r="B739" t="s">
        <v>63</v>
      </c>
      <c r="C739" t="s">
        <v>49</v>
      </c>
      <c r="D739" s="1">
        <v>70000</v>
      </c>
      <c r="E739" t="str" cm="1">
        <f t="array" ref="E739">_xlfn.IFS(D739&lt;40000,"Low Income",D739&lt;=80000,"Moderate Income",D739&gt;80000,"High Income")</f>
        <v>Moderate Income</v>
      </c>
      <c r="F739">
        <v>2</v>
      </c>
      <c r="G739" t="s">
        <v>32</v>
      </c>
      <c r="H739" t="s">
        <v>16</v>
      </c>
      <c r="I739" t="s">
        <v>20</v>
      </c>
      <c r="J739">
        <v>2</v>
      </c>
      <c r="K739" t="s">
        <v>29</v>
      </c>
      <c r="L739" t="s">
        <v>35</v>
      </c>
      <c r="M739">
        <v>49</v>
      </c>
      <c r="N739" t="str">
        <f t="shared" si="11"/>
        <v>Middle-Aged</v>
      </c>
      <c r="O739" t="s">
        <v>20</v>
      </c>
    </row>
    <row r="740" spans="1:15">
      <c r="A740">
        <v>28799</v>
      </c>
      <c r="B740" t="s">
        <v>64</v>
      </c>
      <c r="C740" t="s">
        <v>47</v>
      </c>
      <c r="D740" s="1">
        <v>40000</v>
      </c>
      <c r="E740" t="str" cm="1">
        <f t="array" ref="E740">_xlfn.IFS(D740&lt;40000,"Low Income",D740&lt;=80000,"Moderate Income",D740&gt;80000,"High Income")</f>
        <v>Moderate Income</v>
      </c>
      <c r="F740">
        <v>2</v>
      </c>
      <c r="G740" t="s">
        <v>21</v>
      </c>
      <c r="H740" t="s">
        <v>22</v>
      </c>
      <c r="I740" t="s">
        <v>20</v>
      </c>
      <c r="J740">
        <v>1</v>
      </c>
      <c r="K740" t="s">
        <v>29</v>
      </c>
      <c r="L740" t="s">
        <v>35</v>
      </c>
      <c r="M740">
        <v>47</v>
      </c>
      <c r="N740" t="str">
        <f t="shared" si="11"/>
        <v>Middle-Aged</v>
      </c>
      <c r="O740" t="s">
        <v>17</v>
      </c>
    </row>
    <row r="741" spans="1:15">
      <c r="A741">
        <v>11225</v>
      </c>
      <c r="B741" t="s">
        <v>63</v>
      </c>
      <c r="C741" t="s">
        <v>47</v>
      </c>
      <c r="D741" s="1">
        <v>60000</v>
      </c>
      <c r="E741" t="str" cm="1">
        <f t="array" ref="E741">_xlfn.IFS(D741&lt;40000,"Low Income",D741&lt;=80000,"Moderate Income",D741&gt;80000,"High Income")</f>
        <v>Moderate Income</v>
      </c>
      <c r="F741">
        <v>2</v>
      </c>
      <c r="G741" t="s">
        <v>21</v>
      </c>
      <c r="H741" t="s">
        <v>23</v>
      </c>
      <c r="I741" t="s">
        <v>17</v>
      </c>
      <c r="J741">
        <v>1</v>
      </c>
      <c r="K741" t="s">
        <v>61</v>
      </c>
      <c r="L741" t="s">
        <v>35</v>
      </c>
      <c r="M741">
        <v>55</v>
      </c>
      <c r="N741" t="str">
        <f t="shared" si="11"/>
        <v>Middle-Aged</v>
      </c>
      <c r="O741" t="s">
        <v>20</v>
      </c>
    </row>
    <row r="742" spans="1:15">
      <c r="A742">
        <v>17657</v>
      </c>
      <c r="B742" t="s">
        <v>63</v>
      </c>
      <c r="C742" t="s">
        <v>49</v>
      </c>
      <c r="D742" s="1">
        <v>40000</v>
      </c>
      <c r="E742" t="str" cm="1">
        <f t="array" ref="E742">_xlfn.IFS(D742&lt;40000,"Low Income",D742&lt;=80000,"Moderate Income",D742&gt;80000,"High Income")</f>
        <v>Moderate Income</v>
      </c>
      <c r="F742">
        <v>4</v>
      </c>
      <c r="G742" t="s">
        <v>21</v>
      </c>
      <c r="H742" t="s">
        <v>22</v>
      </c>
      <c r="I742" t="s">
        <v>20</v>
      </c>
      <c r="J742">
        <v>0</v>
      </c>
      <c r="K742" t="s">
        <v>18</v>
      </c>
      <c r="L742" t="s">
        <v>35</v>
      </c>
      <c r="M742">
        <v>30</v>
      </c>
      <c r="N742" t="str">
        <f t="shared" si="11"/>
        <v>Young Adults</v>
      </c>
      <c r="O742" t="s">
        <v>20</v>
      </c>
    </row>
    <row r="743" spans="1:15">
      <c r="A743">
        <v>14913</v>
      </c>
      <c r="B743" t="s">
        <v>63</v>
      </c>
      <c r="C743" t="s">
        <v>47</v>
      </c>
      <c r="D743" s="1">
        <v>40000</v>
      </c>
      <c r="E743" t="str" cm="1">
        <f t="array" ref="E743">_xlfn.IFS(D743&lt;40000,"Low Income",D743&lt;=80000,"Moderate Income",D743&gt;80000,"High Income")</f>
        <v>Moderate Income</v>
      </c>
      <c r="F743">
        <v>1</v>
      </c>
      <c r="G743" t="s">
        <v>21</v>
      </c>
      <c r="H743" t="s">
        <v>22</v>
      </c>
      <c r="I743" t="s">
        <v>17</v>
      </c>
      <c r="J743">
        <v>1</v>
      </c>
      <c r="K743" t="s">
        <v>29</v>
      </c>
      <c r="L743" t="s">
        <v>35</v>
      </c>
      <c r="M743">
        <v>48</v>
      </c>
      <c r="N743" t="str">
        <f t="shared" si="11"/>
        <v>Middle-Aged</v>
      </c>
      <c r="O743" t="s">
        <v>17</v>
      </c>
    </row>
    <row r="744" spans="1:15">
      <c r="A744">
        <v>14077</v>
      </c>
      <c r="B744" t="s">
        <v>64</v>
      </c>
      <c r="C744" t="s">
        <v>49</v>
      </c>
      <c r="D744" s="1">
        <v>30000</v>
      </c>
      <c r="E744" t="str" cm="1">
        <f t="array" ref="E744">_xlfn.IFS(D744&lt;40000,"Low Income",D744&lt;=80000,"Moderate Income",D744&gt;80000,"High Income")</f>
        <v>Low Income</v>
      </c>
      <c r="F744">
        <v>0</v>
      </c>
      <c r="G744" t="s">
        <v>30</v>
      </c>
      <c r="H744" t="s">
        <v>16</v>
      </c>
      <c r="I744" t="s">
        <v>17</v>
      </c>
      <c r="J744">
        <v>2</v>
      </c>
      <c r="K744" t="s">
        <v>26</v>
      </c>
      <c r="L744" t="s">
        <v>35</v>
      </c>
      <c r="M744">
        <v>30</v>
      </c>
      <c r="N744" t="str">
        <f t="shared" si="11"/>
        <v>Young Adults</v>
      </c>
      <c r="O744" t="s">
        <v>20</v>
      </c>
    </row>
    <row r="745" spans="1:15">
      <c r="A745">
        <v>13296</v>
      </c>
      <c r="B745" t="s">
        <v>63</v>
      </c>
      <c r="C745" t="s">
        <v>49</v>
      </c>
      <c r="D745" s="1">
        <v>110000</v>
      </c>
      <c r="E745" t="str" cm="1">
        <f t="array" ref="E745">_xlfn.IFS(D745&lt;40000,"Low Income",D745&lt;=80000,"Moderate Income",D745&gt;80000,"High Income")</f>
        <v>High Income</v>
      </c>
      <c r="F745">
        <v>1</v>
      </c>
      <c r="G745" t="s">
        <v>15</v>
      </c>
      <c r="H745" t="s">
        <v>31</v>
      </c>
      <c r="I745" t="s">
        <v>17</v>
      </c>
      <c r="J745">
        <v>3</v>
      </c>
      <c r="K745" t="s">
        <v>26</v>
      </c>
      <c r="L745" t="s">
        <v>35</v>
      </c>
      <c r="M745">
        <v>45</v>
      </c>
      <c r="N745" t="str">
        <f t="shared" si="11"/>
        <v>Middle-Aged</v>
      </c>
      <c r="O745" t="s">
        <v>20</v>
      </c>
    </row>
    <row r="746" spans="1:15">
      <c r="A746">
        <v>20535</v>
      </c>
      <c r="B746" t="s">
        <v>63</v>
      </c>
      <c r="C746" t="s">
        <v>47</v>
      </c>
      <c r="D746" s="1">
        <v>70000</v>
      </c>
      <c r="E746" t="str" cm="1">
        <f t="array" ref="E746">_xlfn.IFS(D746&lt;40000,"Low Income",D746&lt;=80000,"Moderate Income",D746&gt;80000,"High Income")</f>
        <v>Moderate Income</v>
      </c>
      <c r="F746">
        <v>4</v>
      </c>
      <c r="G746" t="s">
        <v>21</v>
      </c>
      <c r="H746" t="s">
        <v>23</v>
      </c>
      <c r="I746" t="s">
        <v>17</v>
      </c>
      <c r="J746">
        <v>1</v>
      </c>
      <c r="K746" t="s">
        <v>61</v>
      </c>
      <c r="L746" t="s">
        <v>35</v>
      </c>
      <c r="M746">
        <v>56</v>
      </c>
      <c r="N746" t="str">
        <f t="shared" si="11"/>
        <v>Middle-Aged</v>
      </c>
      <c r="O746" t="s">
        <v>20</v>
      </c>
    </row>
    <row r="747" spans="1:15">
      <c r="A747">
        <v>12452</v>
      </c>
      <c r="B747" t="s">
        <v>63</v>
      </c>
      <c r="C747" t="s">
        <v>49</v>
      </c>
      <c r="D747" s="1">
        <v>60000</v>
      </c>
      <c r="E747" t="str" cm="1">
        <f t="array" ref="E747">_xlfn.IFS(D747&lt;40000,"Low Income",D747&lt;=80000,"Moderate Income",D747&gt;80000,"High Income")</f>
        <v>Moderate Income</v>
      </c>
      <c r="F747">
        <v>4</v>
      </c>
      <c r="G747" t="s">
        <v>34</v>
      </c>
      <c r="H747" t="s">
        <v>16</v>
      </c>
      <c r="I747" t="s">
        <v>17</v>
      </c>
      <c r="J747">
        <v>0</v>
      </c>
      <c r="K747" t="s">
        <v>29</v>
      </c>
      <c r="L747" t="s">
        <v>35</v>
      </c>
      <c r="M747">
        <v>47</v>
      </c>
      <c r="N747" t="str">
        <f t="shared" si="11"/>
        <v>Middle-Aged</v>
      </c>
      <c r="O747" t="s">
        <v>17</v>
      </c>
    </row>
    <row r="748" spans="1:15">
      <c r="A748">
        <v>28043</v>
      </c>
      <c r="B748" t="s">
        <v>63</v>
      </c>
      <c r="C748" t="s">
        <v>47</v>
      </c>
      <c r="D748" s="1">
        <v>60000</v>
      </c>
      <c r="E748" t="str" cm="1">
        <f t="array" ref="E748">_xlfn.IFS(D748&lt;40000,"Low Income",D748&lt;=80000,"Moderate Income",D748&gt;80000,"High Income")</f>
        <v>Moderate Income</v>
      </c>
      <c r="F748">
        <v>2</v>
      </c>
      <c r="G748" t="s">
        <v>15</v>
      </c>
      <c r="H748" t="s">
        <v>31</v>
      </c>
      <c r="I748" t="s">
        <v>17</v>
      </c>
      <c r="J748">
        <v>0</v>
      </c>
      <c r="K748" t="s">
        <v>61</v>
      </c>
      <c r="L748" t="s">
        <v>35</v>
      </c>
      <c r="M748">
        <v>56</v>
      </c>
      <c r="N748" t="str">
        <f t="shared" si="11"/>
        <v>Middle-Aged</v>
      </c>
      <c r="O748" t="s">
        <v>20</v>
      </c>
    </row>
    <row r="749" spans="1:15">
      <c r="A749">
        <v>12957</v>
      </c>
      <c r="B749" t="s">
        <v>64</v>
      </c>
      <c r="C749" t="s">
        <v>47</v>
      </c>
      <c r="D749" s="1">
        <v>70000</v>
      </c>
      <c r="E749" t="str" cm="1">
        <f t="array" ref="E749">_xlfn.IFS(D749&lt;40000,"Low Income",D749&lt;=80000,"Moderate Income",D749&gt;80000,"High Income")</f>
        <v>Moderate Income</v>
      </c>
      <c r="F749">
        <v>1</v>
      </c>
      <c r="G749" t="s">
        <v>15</v>
      </c>
      <c r="H749" t="s">
        <v>23</v>
      </c>
      <c r="I749" t="s">
        <v>20</v>
      </c>
      <c r="J749">
        <v>1</v>
      </c>
      <c r="K749" t="s">
        <v>18</v>
      </c>
      <c r="L749" t="s">
        <v>35</v>
      </c>
      <c r="M749">
        <v>44</v>
      </c>
      <c r="N749" t="str">
        <f t="shared" si="11"/>
        <v>Middle-Aged</v>
      </c>
      <c r="O749" t="s">
        <v>20</v>
      </c>
    </row>
    <row r="750" spans="1:15">
      <c r="A750">
        <v>15412</v>
      </c>
      <c r="B750" t="s">
        <v>63</v>
      </c>
      <c r="C750" t="s">
        <v>49</v>
      </c>
      <c r="D750" s="1">
        <v>130000</v>
      </c>
      <c r="E750" t="str" cm="1">
        <f t="array" ref="E750">_xlfn.IFS(D750&lt;40000,"Low Income",D750&lt;=80000,"Moderate Income",D750&gt;80000,"High Income")</f>
        <v>High Income</v>
      </c>
      <c r="F750">
        <v>2</v>
      </c>
      <c r="G750" t="s">
        <v>34</v>
      </c>
      <c r="H750" t="s">
        <v>31</v>
      </c>
      <c r="I750" t="s">
        <v>17</v>
      </c>
      <c r="J750">
        <v>3</v>
      </c>
      <c r="K750" t="s">
        <v>24</v>
      </c>
      <c r="L750" t="s">
        <v>35</v>
      </c>
      <c r="M750">
        <v>69</v>
      </c>
      <c r="N750" t="str">
        <f t="shared" si="11"/>
        <v>Seniors</v>
      </c>
      <c r="O750" t="s">
        <v>20</v>
      </c>
    </row>
    <row r="751" spans="1:15">
      <c r="A751">
        <v>20514</v>
      </c>
      <c r="B751" t="s">
        <v>63</v>
      </c>
      <c r="C751" t="s">
        <v>47</v>
      </c>
      <c r="D751" s="1">
        <v>70000</v>
      </c>
      <c r="E751" t="str" cm="1">
        <f t="array" ref="E751">_xlfn.IFS(D751&lt;40000,"Low Income",D751&lt;=80000,"Moderate Income",D751&gt;80000,"High Income")</f>
        <v>Moderate Income</v>
      </c>
      <c r="F751">
        <v>2</v>
      </c>
      <c r="G751" t="s">
        <v>21</v>
      </c>
      <c r="H751" t="s">
        <v>23</v>
      </c>
      <c r="I751" t="s">
        <v>17</v>
      </c>
      <c r="J751">
        <v>1</v>
      </c>
      <c r="K751" t="s">
        <v>24</v>
      </c>
      <c r="L751" t="s">
        <v>35</v>
      </c>
      <c r="M751">
        <v>59</v>
      </c>
      <c r="N751" t="str">
        <f t="shared" si="11"/>
        <v>Middle-Aged</v>
      </c>
      <c r="O751" t="s">
        <v>20</v>
      </c>
    </row>
    <row r="752" spans="1:15">
      <c r="A752">
        <v>20758</v>
      </c>
      <c r="B752" t="s">
        <v>63</v>
      </c>
      <c r="C752" t="s">
        <v>49</v>
      </c>
      <c r="D752" s="1">
        <v>30000</v>
      </c>
      <c r="E752" t="str" cm="1">
        <f t="array" ref="E752">_xlfn.IFS(D752&lt;40000,"Low Income",D752&lt;=80000,"Moderate Income",D752&gt;80000,"High Income")</f>
        <v>Low Income</v>
      </c>
      <c r="F752">
        <v>2</v>
      </c>
      <c r="G752" t="s">
        <v>30</v>
      </c>
      <c r="H752" t="s">
        <v>16</v>
      </c>
      <c r="I752" t="s">
        <v>17</v>
      </c>
      <c r="J752">
        <v>2</v>
      </c>
      <c r="K752" t="s">
        <v>29</v>
      </c>
      <c r="L752" t="s">
        <v>35</v>
      </c>
      <c r="M752">
        <v>50</v>
      </c>
      <c r="N752" t="str">
        <f t="shared" si="11"/>
        <v>Middle-Aged</v>
      </c>
      <c r="O752" t="s">
        <v>20</v>
      </c>
    </row>
    <row r="753" spans="1:15">
      <c r="A753">
        <v>11801</v>
      </c>
      <c r="B753" t="s">
        <v>63</v>
      </c>
      <c r="C753" t="s">
        <v>49</v>
      </c>
      <c r="D753" s="1">
        <v>60000</v>
      </c>
      <c r="E753" t="str" cm="1">
        <f t="array" ref="E753">_xlfn.IFS(D753&lt;40000,"Low Income",D753&lt;=80000,"Moderate Income",D753&gt;80000,"High Income")</f>
        <v>Moderate Income</v>
      </c>
      <c r="F753">
        <v>1</v>
      </c>
      <c r="G753" t="s">
        <v>34</v>
      </c>
      <c r="H753" t="s">
        <v>23</v>
      </c>
      <c r="I753" t="s">
        <v>17</v>
      </c>
      <c r="J753">
        <v>0</v>
      </c>
      <c r="K753" t="s">
        <v>24</v>
      </c>
      <c r="L753" t="s">
        <v>35</v>
      </c>
      <c r="M753">
        <v>36</v>
      </c>
      <c r="N753" t="str">
        <f t="shared" si="11"/>
        <v>Middle-Aged</v>
      </c>
      <c r="O753" t="s">
        <v>20</v>
      </c>
    </row>
    <row r="754" spans="1:15">
      <c r="A754">
        <v>22211</v>
      </c>
      <c r="B754" t="s">
        <v>63</v>
      </c>
      <c r="C754" t="s">
        <v>49</v>
      </c>
      <c r="D754" s="1">
        <v>60000</v>
      </c>
      <c r="E754" t="str" cm="1">
        <f t="array" ref="E754">_xlfn.IFS(D754&lt;40000,"Low Income",D754&lt;=80000,"Moderate Income",D754&gt;80000,"High Income")</f>
        <v>Moderate Income</v>
      </c>
      <c r="F754">
        <v>0</v>
      </c>
      <c r="G754" t="s">
        <v>21</v>
      </c>
      <c r="H754" t="s">
        <v>23</v>
      </c>
      <c r="I754" t="s">
        <v>17</v>
      </c>
      <c r="J754">
        <v>2</v>
      </c>
      <c r="K754" t="s">
        <v>26</v>
      </c>
      <c r="L754" t="s">
        <v>35</v>
      </c>
      <c r="M754">
        <v>32</v>
      </c>
      <c r="N754" t="str">
        <f t="shared" si="11"/>
        <v>Middle-Aged</v>
      </c>
      <c r="O754" t="s">
        <v>20</v>
      </c>
    </row>
    <row r="755" spans="1:15">
      <c r="A755">
        <v>28087</v>
      </c>
      <c r="B755" t="s">
        <v>64</v>
      </c>
      <c r="C755" t="s">
        <v>47</v>
      </c>
      <c r="D755" s="1">
        <v>40000</v>
      </c>
      <c r="E755" t="str" cm="1">
        <f t="array" ref="E755">_xlfn.IFS(D755&lt;40000,"Low Income",D755&lt;=80000,"Moderate Income",D755&gt;80000,"High Income")</f>
        <v>Moderate Income</v>
      </c>
      <c r="F755">
        <v>0</v>
      </c>
      <c r="G755" t="s">
        <v>21</v>
      </c>
      <c r="H755" t="s">
        <v>16</v>
      </c>
      <c r="I755" t="s">
        <v>20</v>
      </c>
      <c r="J755">
        <v>1</v>
      </c>
      <c r="K755" t="s">
        <v>29</v>
      </c>
      <c r="L755" t="s">
        <v>35</v>
      </c>
      <c r="M755">
        <v>27</v>
      </c>
      <c r="N755" t="str">
        <f t="shared" si="11"/>
        <v>Young Adults</v>
      </c>
      <c r="O755" t="s">
        <v>20</v>
      </c>
    </row>
    <row r="756" spans="1:15">
      <c r="A756">
        <v>23668</v>
      </c>
      <c r="B756" t="s">
        <v>63</v>
      </c>
      <c r="C756" t="s">
        <v>47</v>
      </c>
      <c r="D756" s="1">
        <v>40000</v>
      </c>
      <c r="E756" t="str" cm="1">
        <f t="array" ref="E756">_xlfn.IFS(D756&lt;40000,"Low Income",D756&lt;=80000,"Moderate Income",D756&gt;80000,"High Income")</f>
        <v>Moderate Income</v>
      </c>
      <c r="F756">
        <v>4</v>
      </c>
      <c r="G756" t="s">
        <v>30</v>
      </c>
      <c r="H756" t="s">
        <v>23</v>
      </c>
      <c r="I756" t="s">
        <v>17</v>
      </c>
      <c r="J756">
        <v>2</v>
      </c>
      <c r="K756" t="s">
        <v>26</v>
      </c>
      <c r="L756" t="s">
        <v>35</v>
      </c>
      <c r="M756">
        <v>59</v>
      </c>
      <c r="N756" t="str">
        <f t="shared" si="11"/>
        <v>Middle-Aged</v>
      </c>
      <c r="O756" t="s">
        <v>17</v>
      </c>
    </row>
    <row r="757" spans="1:15">
      <c r="A757">
        <v>27441</v>
      </c>
      <c r="B757" t="s">
        <v>63</v>
      </c>
      <c r="C757" t="s">
        <v>49</v>
      </c>
      <c r="D757" s="1">
        <v>60000</v>
      </c>
      <c r="E757" t="str" cm="1">
        <f t="array" ref="E757">_xlfn.IFS(D757&lt;40000,"Low Income",D757&lt;=80000,"Moderate Income",D757&gt;80000,"High Income")</f>
        <v>Moderate Income</v>
      </c>
      <c r="F757">
        <v>3</v>
      </c>
      <c r="G757" t="s">
        <v>30</v>
      </c>
      <c r="H757" t="s">
        <v>23</v>
      </c>
      <c r="I757" t="s">
        <v>20</v>
      </c>
      <c r="J757">
        <v>2</v>
      </c>
      <c r="K757" t="s">
        <v>24</v>
      </c>
      <c r="L757" t="s">
        <v>35</v>
      </c>
      <c r="M757">
        <v>53</v>
      </c>
      <c r="N757" t="str">
        <f t="shared" si="11"/>
        <v>Middle-Aged</v>
      </c>
      <c r="O757" t="s">
        <v>20</v>
      </c>
    </row>
    <row r="758" spans="1:15">
      <c r="A758">
        <v>27261</v>
      </c>
      <c r="B758" t="s">
        <v>63</v>
      </c>
      <c r="C758" t="s">
        <v>49</v>
      </c>
      <c r="D758" s="1">
        <v>40000</v>
      </c>
      <c r="E758" t="str" cm="1">
        <f t="array" ref="E758">_xlfn.IFS(D758&lt;40000,"Low Income",D758&lt;=80000,"Moderate Income",D758&gt;80000,"High Income")</f>
        <v>Moderate Income</v>
      </c>
      <c r="F758">
        <v>1</v>
      </c>
      <c r="G758" t="s">
        <v>15</v>
      </c>
      <c r="H758" t="s">
        <v>16</v>
      </c>
      <c r="I758" t="s">
        <v>20</v>
      </c>
      <c r="J758">
        <v>1</v>
      </c>
      <c r="K758" t="s">
        <v>18</v>
      </c>
      <c r="L758" t="s">
        <v>35</v>
      </c>
      <c r="M758">
        <v>36</v>
      </c>
      <c r="N758" t="str">
        <f t="shared" si="11"/>
        <v>Middle-Aged</v>
      </c>
      <c r="O758" t="s">
        <v>17</v>
      </c>
    </row>
    <row r="759" spans="1:15">
      <c r="A759">
        <v>18649</v>
      </c>
      <c r="B759" t="s">
        <v>64</v>
      </c>
      <c r="C759" t="s">
        <v>49</v>
      </c>
      <c r="D759" s="1">
        <v>30000</v>
      </c>
      <c r="E759" t="str" cm="1">
        <f t="array" ref="E759">_xlfn.IFS(D759&lt;40000,"Low Income",D759&lt;=80000,"Moderate Income",D759&gt;80000,"High Income")</f>
        <v>Low Income</v>
      </c>
      <c r="F759">
        <v>1</v>
      </c>
      <c r="G759" t="s">
        <v>30</v>
      </c>
      <c r="H759" t="s">
        <v>22</v>
      </c>
      <c r="I759" t="s">
        <v>17</v>
      </c>
      <c r="J759">
        <v>2</v>
      </c>
      <c r="K759" t="s">
        <v>29</v>
      </c>
      <c r="L759" t="s">
        <v>35</v>
      </c>
      <c r="M759">
        <v>51</v>
      </c>
      <c r="N759" t="str">
        <f t="shared" si="11"/>
        <v>Middle-Aged</v>
      </c>
      <c r="O759" t="s">
        <v>17</v>
      </c>
    </row>
    <row r="760" spans="1:15">
      <c r="A760">
        <v>21714</v>
      </c>
      <c r="B760" t="s">
        <v>64</v>
      </c>
      <c r="C760" t="s">
        <v>47</v>
      </c>
      <c r="D760" s="1">
        <v>80000</v>
      </c>
      <c r="E760" t="str" cm="1">
        <f t="array" ref="E760">_xlfn.IFS(D760&lt;40000,"Low Income",D760&lt;=80000,"Moderate Income",D760&gt;80000,"High Income")</f>
        <v>Moderate Income</v>
      </c>
      <c r="F760">
        <v>5</v>
      </c>
      <c r="G760" t="s">
        <v>34</v>
      </c>
      <c r="H760" t="s">
        <v>16</v>
      </c>
      <c r="I760" t="s">
        <v>20</v>
      </c>
      <c r="J760">
        <v>0</v>
      </c>
      <c r="K760" t="s">
        <v>18</v>
      </c>
      <c r="L760" t="s">
        <v>35</v>
      </c>
      <c r="M760">
        <v>47</v>
      </c>
      <c r="N760" t="str">
        <f t="shared" si="11"/>
        <v>Middle-Aged</v>
      </c>
      <c r="O760" t="s">
        <v>20</v>
      </c>
    </row>
    <row r="761" spans="1:15">
      <c r="A761">
        <v>23217</v>
      </c>
      <c r="B761" t="s">
        <v>64</v>
      </c>
      <c r="C761" t="s">
        <v>47</v>
      </c>
      <c r="D761" s="1">
        <v>60000</v>
      </c>
      <c r="E761" t="str" cm="1">
        <f t="array" ref="E761">_xlfn.IFS(D761&lt;40000,"Low Income",D761&lt;=80000,"Moderate Income",D761&gt;80000,"High Income")</f>
        <v>Moderate Income</v>
      </c>
      <c r="F761">
        <v>3</v>
      </c>
      <c r="G761" t="s">
        <v>34</v>
      </c>
      <c r="H761" t="s">
        <v>23</v>
      </c>
      <c r="I761" t="s">
        <v>17</v>
      </c>
      <c r="J761">
        <v>0</v>
      </c>
      <c r="K761" t="s">
        <v>24</v>
      </c>
      <c r="L761" t="s">
        <v>35</v>
      </c>
      <c r="M761">
        <v>43</v>
      </c>
      <c r="N761" t="str">
        <f t="shared" si="11"/>
        <v>Middle-Aged</v>
      </c>
      <c r="O761" t="s">
        <v>17</v>
      </c>
    </row>
    <row r="762" spans="1:15">
      <c r="A762">
        <v>23797</v>
      </c>
      <c r="B762" t="s">
        <v>64</v>
      </c>
      <c r="C762" t="s">
        <v>49</v>
      </c>
      <c r="D762" s="1">
        <v>20000</v>
      </c>
      <c r="E762" t="str" cm="1">
        <f t="array" ref="E762">_xlfn.IFS(D762&lt;40000,"Low Income",D762&lt;=80000,"Moderate Income",D762&gt;80000,"High Income")</f>
        <v>Low Income</v>
      </c>
      <c r="F762">
        <v>3</v>
      </c>
      <c r="G762" t="s">
        <v>32</v>
      </c>
      <c r="H762" t="s">
        <v>22</v>
      </c>
      <c r="I762" t="s">
        <v>20</v>
      </c>
      <c r="J762">
        <v>2</v>
      </c>
      <c r="K762" t="s">
        <v>18</v>
      </c>
      <c r="L762" t="s">
        <v>35</v>
      </c>
      <c r="M762">
        <v>50</v>
      </c>
      <c r="N762" t="str">
        <f t="shared" si="11"/>
        <v>Middle-Aged</v>
      </c>
      <c r="O762" t="s">
        <v>20</v>
      </c>
    </row>
    <row r="763" spans="1:15">
      <c r="A763">
        <v>13216</v>
      </c>
      <c r="B763" t="s">
        <v>63</v>
      </c>
      <c r="C763" t="s">
        <v>47</v>
      </c>
      <c r="D763" s="1">
        <v>60000</v>
      </c>
      <c r="E763" t="str" cm="1">
        <f t="array" ref="E763">_xlfn.IFS(D763&lt;40000,"Low Income",D763&lt;=80000,"Moderate Income",D763&gt;80000,"High Income")</f>
        <v>Moderate Income</v>
      </c>
      <c r="F763">
        <v>5</v>
      </c>
      <c r="G763" t="s">
        <v>15</v>
      </c>
      <c r="H763" t="s">
        <v>31</v>
      </c>
      <c r="I763" t="s">
        <v>17</v>
      </c>
      <c r="J763">
        <v>3</v>
      </c>
      <c r="K763" t="s">
        <v>61</v>
      </c>
      <c r="L763" t="s">
        <v>35</v>
      </c>
      <c r="M763">
        <v>59</v>
      </c>
      <c r="N763" t="str">
        <f t="shared" si="11"/>
        <v>Middle-Aged</v>
      </c>
      <c r="O763" t="s">
        <v>20</v>
      </c>
    </row>
    <row r="764" spans="1:15">
      <c r="A764">
        <v>20657</v>
      </c>
      <c r="B764" t="s">
        <v>64</v>
      </c>
      <c r="C764" t="s">
        <v>49</v>
      </c>
      <c r="D764" s="1">
        <v>50000</v>
      </c>
      <c r="E764" t="str" cm="1">
        <f t="array" ref="E764">_xlfn.IFS(D764&lt;40000,"Low Income",D764&lt;=80000,"Moderate Income",D764&gt;80000,"High Income")</f>
        <v>Moderate Income</v>
      </c>
      <c r="F764">
        <v>2</v>
      </c>
      <c r="G764" t="s">
        <v>15</v>
      </c>
      <c r="H764" t="s">
        <v>16</v>
      </c>
      <c r="I764" t="s">
        <v>17</v>
      </c>
      <c r="J764">
        <v>0</v>
      </c>
      <c r="K764" t="s">
        <v>24</v>
      </c>
      <c r="L764" t="s">
        <v>35</v>
      </c>
      <c r="M764">
        <v>37</v>
      </c>
      <c r="N764" t="str">
        <f t="shared" si="11"/>
        <v>Middle-Aged</v>
      </c>
      <c r="O764" t="s">
        <v>17</v>
      </c>
    </row>
    <row r="765" spans="1:15">
      <c r="A765">
        <v>12882</v>
      </c>
      <c r="B765" t="s">
        <v>63</v>
      </c>
      <c r="C765" t="s">
        <v>49</v>
      </c>
      <c r="D765" s="1">
        <v>50000</v>
      </c>
      <c r="E765" t="str" cm="1">
        <f t="array" ref="E765">_xlfn.IFS(D765&lt;40000,"Low Income",D765&lt;=80000,"Moderate Income",D765&gt;80000,"High Income")</f>
        <v>Moderate Income</v>
      </c>
      <c r="F765">
        <v>1</v>
      </c>
      <c r="G765" t="s">
        <v>34</v>
      </c>
      <c r="H765" t="s">
        <v>16</v>
      </c>
      <c r="I765" t="s">
        <v>17</v>
      </c>
      <c r="J765">
        <v>0</v>
      </c>
      <c r="K765" t="s">
        <v>18</v>
      </c>
      <c r="L765" t="s">
        <v>35</v>
      </c>
      <c r="M765">
        <v>33</v>
      </c>
      <c r="N765" t="str">
        <f t="shared" si="11"/>
        <v>Middle-Aged</v>
      </c>
      <c r="O765" t="s">
        <v>17</v>
      </c>
    </row>
    <row r="766" spans="1:15">
      <c r="A766">
        <v>25908</v>
      </c>
      <c r="B766" t="s">
        <v>63</v>
      </c>
      <c r="C766" t="s">
        <v>47</v>
      </c>
      <c r="D766" s="1">
        <v>60000</v>
      </c>
      <c r="E766" t="str" cm="1">
        <f t="array" ref="E766">_xlfn.IFS(D766&lt;40000,"Low Income",D766&lt;=80000,"Moderate Income",D766&gt;80000,"High Income")</f>
        <v>Moderate Income</v>
      </c>
      <c r="F766">
        <v>0</v>
      </c>
      <c r="G766" t="s">
        <v>21</v>
      </c>
      <c r="H766" t="s">
        <v>16</v>
      </c>
      <c r="I766" t="s">
        <v>20</v>
      </c>
      <c r="J766">
        <v>1</v>
      </c>
      <c r="K766" t="s">
        <v>29</v>
      </c>
      <c r="L766" t="s">
        <v>35</v>
      </c>
      <c r="M766">
        <v>27</v>
      </c>
      <c r="N766" t="str">
        <f t="shared" si="11"/>
        <v>Young Adults</v>
      </c>
      <c r="O766" t="s">
        <v>20</v>
      </c>
    </row>
    <row r="767" spans="1:15">
      <c r="A767">
        <v>16753</v>
      </c>
      <c r="B767" t="s">
        <v>64</v>
      </c>
      <c r="C767" t="s">
        <v>47</v>
      </c>
      <c r="D767" s="1">
        <v>70000</v>
      </c>
      <c r="E767" t="str" cm="1">
        <f t="array" ref="E767">_xlfn.IFS(D767&lt;40000,"Low Income",D767&lt;=80000,"Moderate Income",D767&gt;80000,"High Income")</f>
        <v>Moderate Income</v>
      </c>
      <c r="F767">
        <v>0</v>
      </c>
      <c r="G767" t="s">
        <v>21</v>
      </c>
      <c r="H767" t="s">
        <v>16</v>
      </c>
      <c r="I767" t="s">
        <v>17</v>
      </c>
      <c r="J767">
        <v>2</v>
      </c>
      <c r="K767" t="s">
        <v>26</v>
      </c>
      <c r="L767" t="s">
        <v>35</v>
      </c>
      <c r="M767">
        <v>34</v>
      </c>
      <c r="N767" t="str">
        <f t="shared" si="11"/>
        <v>Middle-Aged</v>
      </c>
      <c r="O767" t="s">
        <v>17</v>
      </c>
    </row>
    <row r="768" spans="1:15">
      <c r="A768">
        <v>14608</v>
      </c>
      <c r="B768" t="s">
        <v>63</v>
      </c>
      <c r="C768" t="s">
        <v>49</v>
      </c>
      <c r="D768" s="1">
        <v>50000</v>
      </c>
      <c r="E768" t="str" cm="1">
        <f t="array" ref="E768">_xlfn.IFS(D768&lt;40000,"Low Income",D768&lt;=80000,"Moderate Income",D768&gt;80000,"High Income")</f>
        <v>Moderate Income</v>
      </c>
      <c r="F768">
        <v>4</v>
      </c>
      <c r="G768" t="s">
        <v>15</v>
      </c>
      <c r="H768" t="s">
        <v>16</v>
      </c>
      <c r="I768" t="s">
        <v>17</v>
      </c>
      <c r="J768">
        <v>3</v>
      </c>
      <c r="K768" t="s">
        <v>61</v>
      </c>
      <c r="L768" t="s">
        <v>35</v>
      </c>
      <c r="M768">
        <v>42</v>
      </c>
      <c r="N768" t="str">
        <f t="shared" si="11"/>
        <v>Middle-Aged</v>
      </c>
      <c r="O768" t="s">
        <v>20</v>
      </c>
    </row>
    <row r="769" spans="1:15">
      <c r="A769">
        <v>24979</v>
      </c>
      <c r="B769" t="s">
        <v>63</v>
      </c>
      <c r="C769" t="s">
        <v>47</v>
      </c>
      <c r="D769" s="1">
        <v>60000</v>
      </c>
      <c r="E769" t="str" cm="1">
        <f t="array" ref="E769">_xlfn.IFS(D769&lt;40000,"Low Income",D769&lt;=80000,"Moderate Income",D769&gt;80000,"High Income")</f>
        <v>Moderate Income</v>
      </c>
      <c r="F769">
        <v>2</v>
      </c>
      <c r="G769" t="s">
        <v>21</v>
      </c>
      <c r="H769" t="s">
        <v>23</v>
      </c>
      <c r="I769" t="s">
        <v>17</v>
      </c>
      <c r="J769">
        <v>2</v>
      </c>
      <c r="K769" t="s">
        <v>24</v>
      </c>
      <c r="L769" t="s">
        <v>35</v>
      </c>
      <c r="M769">
        <v>57</v>
      </c>
      <c r="N769" t="str">
        <f t="shared" si="11"/>
        <v>Middle-Aged</v>
      </c>
      <c r="O769" t="s">
        <v>17</v>
      </c>
    </row>
    <row r="770" spans="1:15">
      <c r="A770">
        <v>13313</v>
      </c>
      <c r="B770" t="s">
        <v>63</v>
      </c>
      <c r="C770" t="s">
        <v>47</v>
      </c>
      <c r="D770" s="1">
        <v>120000</v>
      </c>
      <c r="E770" t="str" cm="1">
        <f t="array" ref="E770">_xlfn.IFS(D770&lt;40000,"Low Income",D770&lt;=80000,"Moderate Income",D770&gt;80000,"High Income")</f>
        <v>High Income</v>
      </c>
      <c r="F770">
        <v>1</v>
      </c>
      <c r="G770" t="s">
        <v>30</v>
      </c>
      <c r="H770" t="s">
        <v>23</v>
      </c>
      <c r="I770" t="s">
        <v>20</v>
      </c>
      <c r="J770">
        <v>4</v>
      </c>
      <c r="K770" t="s">
        <v>24</v>
      </c>
      <c r="L770" t="s">
        <v>35</v>
      </c>
      <c r="M770">
        <v>45</v>
      </c>
      <c r="N770" t="str">
        <f t="shared" si="11"/>
        <v>Middle-Aged</v>
      </c>
      <c r="O770" t="s">
        <v>20</v>
      </c>
    </row>
    <row r="771" spans="1:15">
      <c r="A771">
        <v>18952</v>
      </c>
      <c r="B771" t="s">
        <v>63</v>
      </c>
      <c r="C771" t="s">
        <v>47</v>
      </c>
      <c r="D771" s="1">
        <v>100000</v>
      </c>
      <c r="E771" t="str" cm="1">
        <f t="array" ref="E771">_xlfn.IFS(D771&lt;40000,"Low Income",D771&lt;=80000,"Moderate Income",D771&gt;80000,"High Income")</f>
        <v>High Income</v>
      </c>
      <c r="F771">
        <v>4</v>
      </c>
      <c r="G771" t="s">
        <v>15</v>
      </c>
      <c r="H771" t="s">
        <v>31</v>
      </c>
      <c r="I771" t="s">
        <v>17</v>
      </c>
      <c r="J771">
        <v>4</v>
      </c>
      <c r="K771" t="s">
        <v>18</v>
      </c>
      <c r="L771" t="s">
        <v>35</v>
      </c>
      <c r="M771">
        <v>40</v>
      </c>
      <c r="N771" t="str">
        <f t="shared" ref="N771:N834" si="12">IF(M771&gt;=60,"Seniors",IF(M771&gt;30,"Middle-Aged",IF(M771&lt;=30,"Young Adults")))</f>
        <v>Middle-Aged</v>
      </c>
      <c r="O771" t="s">
        <v>20</v>
      </c>
    </row>
    <row r="772" spans="1:15">
      <c r="A772">
        <v>17699</v>
      </c>
      <c r="B772" t="s">
        <v>63</v>
      </c>
      <c r="C772" t="s">
        <v>49</v>
      </c>
      <c r="D772" s="1">
        <v>60000</v>
      </c>
      <c r="E772" t="str" cm="1">
        <f t="array" ref="E772">_xlfn.IFS(D772&lt;40000,"Low Income",D772&lt;=80000,"Moderate Income",D772&gt;80000,"High Income")</f>
        <v>Moderate Income</v>
      </c>
      <c r="F772">
        <v>1</v>
      </c>
      <c r="G772" t="s">
        <v>34</v>
      </c>
      <c r="H772" t="s">
        <v>16</v>
      </c>
      <c r="I772" t="s">
        <v>20</v>
      </c>
      <c r="J772">
        <v>0</v>
      </c>
      <c r="K772" t="s">
        <v>18</v>
      </c>
      <c r="L772" t="s">
        <v>35</v>
      </c>
      <c r="M772">
        <v>55</v>
      </c>
      <c r="N772" t="str">
        <f t="shared" si="12"/>
        <v>Middle-Aged</v>
      </c>
      <c r="O772" t="s">
        <v>20</v>
      </c>
    </row>
    <row r="773" spans="1:15">
      <c r="A773">
        <v>14657</v>
      </c>
      <c r="B773" t="s">
        <v>63</v>
      </c>
      <c r="C773" t="s">
        <v>49</v>
      </c>
      <c r="D773" s="1">
        <v>80000</v>
      </c>
      <c r="E773" t="str" cm="1">
        <f t="array" ref="E773">_xlfn.IFS(D773&lt;40000,"Low Income",D773&lt;=80000,"Moderate Income",D773&gt;80000,"High Income")</f>
        <v>Moderate Income</v>
      </c>
      <c r="F773">
        <v>1</v>
      </c>
      <c r="G773" t="s">
        <v>21</v>
      </c>
      <c r="H773" t="s">
        <v>16</v>
      </c>
      <c r="I773" t="s">
        <v>20</v>
      </c>
      <c r="J773">
        <v>1</v>
      </c>
      <c r="K773" t="s">
        <v>18</v>
      </c>
      <c r="L773" t="s">
        <v>35</v>
      </c>
      <c r="M773">
        <v>47</v>
      </c>
      <c r="N773" t="str">
        <f t="shared" si="12"/>
        <v>Middle-Aged</v>
      </c>
      <c r="O773" t="s">
        <v>17</v>
      </c>
    </row>
    <row r="774" spans="1:15">
      <c r="A774">
        <v>11540</v>
      </c>
      <c r="B774" t="s">
        <v>64</v>
      </c>
      <c r="C774" t="s">
        <v>49</v>
      </c>
      <c r="D774" s="1">
        <v>60000</v>
      </c>
      <c r="E774" t="str" cm="1">
        <f t="array" ref="E774">_xlfn.IFS(D774&lt;40000,"Low Income",D774&lt;=80000,"Moderate Income",D774&gt;80000,"High Income")</f>
        <v>Moderate Income</v>
      </c>
      <c r="F774">
        <v>4</v>
      </c>
      <c r="G774" t="s">
        <v>34</v>
      </c>
      <c r="H774" t="s">
        <v>16</v>
      </c>
      <c r="I774" t="s">
        <v>17</v>
      </c>
      <c r="J774">
        <v>0</v>
      </c>
      <c r="K774" t="s">
        <v>29</v>
      </c>
      <c r="L774" t="s">
        <v>35</v>
      </c>
      <c r="M774">
        <v>47</v>
      </c>
      <c r="N774" t="str">
        <f t="shared" si="12"/>
        <v>Middle-Aged</v>
      </c>
      <c r="O774" t="s">
        <v>17</v>
      </c>
    </row>
    <row r="775" spans="1:15">
      <c r="A775">
        <v>11783</v>
      </c>
      <c r="B775" t="s">
        <v>63</v>
      </c>
      <c r="C775" t="s">
        <v>47</v>
      </c>
      <c r="D775" s="1">
        <v>60000</v>
      </c>
      <c r="E775" t="str" cm="1">
        <f t="array" ref="E775">_xlfn.IFS(D775&lt;40000,"Low Income",D775&lt;=80000,"Moderate Income",D775&gt;80000,"High Income")</f>
        <v>Moderate Income</v>
      </c>
      <c r="F775">
        <v>1</v>
      </c>
      <c r="G775" t="s">
        <v>34</v>
      </c>
      <c r="H775" t="s">
        <v>16</v>
      </c>
      <c r="I775" t="s">
        <v>17</v>
      </c>
      <c r="J775">
        <v>0</v>
      </c>
      <c r="K775" t="s">
        <v>18</v>
      </c>
      <c r="L775" t="s">
        <v>35</v>
      </c>
      <c r="M775">
        <v>34</v>
      </c>
      <c r="N775" t="str">
        <f t="shared" si="12"/>
        <v>Middle-Aged</v>
      </c>
      <c r="O775" t="s">
        <v>20</v>
      </c>
    </row>
    <row r="776" spans="1:15">
      <c r="A776">
        <v>14602</v>
      </c>
      <c r="B776" t="s">
        <v>63</v>
      </c>
      <c r="C776" t="s">
        <v>47</v>
      </c>
      <c r="D776" s="1">
        <v>80000</v>
      </c>
      <c r="E776" t="str" cm="1">
        <f t="array" ref="E776">_xlfn.IFS(D776&lt;40000,"Low Income",D776&lt;=80000,"Moderate Income",D776&gt;80000,"High Income")</f>
        <v>Moderate Income</v>
      </c>
      <c r="F776">
        <v>3</v>
      </c>
      <c r="G776" t="s">
        <v>34</v>
      </c>
      <c r="H776" t="s">
        <v>23</v>
      </c>
      <c r="I776" t="s">
        <v>17</v>
      </c>
      <c r="J776">
        <v>0</v>
      </c>
      <c r="K776" t="s">
        <v>18</v>
      </c>
      <c r="L776" t="s">
        <v>35</v>
      </c>
      <c r="M776">
        <v>36</v>
      </c>
      <c r="N776" t="str">
        <f t="shared" si="12"/>
        <v>Middle-Aged</v>
      </c>
      <c r="O776" t="s">
        <v>17</v>
      </c>
    </row>
    <row r="777" spans="1:15">
      <c r="A777">
        <v>29030</v>
      </c>
      <c r="B777" t="s">
        <v>63</v>
      </c>
      <c r="C777" t="s">
        <v>49</v>
      </c>
      <c r="D777" s="1">
        <v>70000</v>
      </c>
      <c r="E777" t="str" cm="1">
        <f t="array" ref="E777">_xlfn.IFS(D777&lt;40000,"Low Income",D777&lt;=80000,"Moderate Income",D777&gt;80000,"High Income")</f>
        <v>Moderate Income</v>
      </c>
      <c r="F777">
        <v>2</v>
      </c>
      <c r="G777" t="s">
        <v>32</v>
      </c>
      <c r="H777" t="s">
        <v>16</v>
      </c>
      <c r="I777" t="s">
        <v>17</v>
      </c>
      <c r="J777">
        <v>2</v>
      </c>
      <c r="K777" t="s">
        <v>61</v>
      </c>
      <c r="L777" t="s">
        <v>35</v>
      </c>
      <c r="M777">
        <v>54</v>
      </c>
      <c r="N777" t="str">
        <f t="shared" si="12"/>
        <v>Middle-Aged</v>
      </c>
      <c r="O777" t="s">
        <v>20</v>
      </c>
    </row>
    <row r="778" spans="1:15">
      <c r="A778">
        <v>26490</v>
      </c>
      <c r="B778" t="s">
        <v>64</v>
      </c>
      <c r="C778" t="s">
        <v>49</v>
      </c>
      <c r="D778" s="1">
        <v>70000</v>
      </c>
      <c r="E778" t="str" cm="1">
        <f t="array" ref="E778">_xlfn.IFS(D778&lt;40000,"Low Income",D778&lt;=80000,"Moderate Income",D778&gt;80000,"High Income")</f>
        <v>Moderate Income</v>
      </c>
      <c r="F778">
        <v>2</v>
      </c>
      <c r="G778" t="s">
        <v>15</v>
      </c>
      <c r="H778" t="s">
        <v>31</v>
      </c>
      <c r="I778" t="s">
        <v>20</v>
      </c>
      <c r="J778">
        <v>1</v>
      </c>
      <c r="K778" t="s">
        <v>24</v>
      </c>
      <c r="L778" t="s">
        <v>35</v>
      </c>
      <c r="M778">
        <v>59</v>
      </c>
      <c r="N778" t="str">
        <f t="shared" si="12"/>
        <v>Middle-Aged</v>
      </c>
      <c r="O778" t="s">
        <v>17</v>
      </c>
    </row>
    <row r="779" spans="1:15">
      <c r="A779">
        <v>13151</v>
      </c>
      <c r="B779" t="s">
        <v>64</v>
      </c>
      <c r="C779" t="s">
        <v>49</v>
      </c>
      <c r="D779" s="1">
        <v>40000</v>
      </c>
      <c r="E779" t="str" cm="1">
        <f t="array" ref="E779">_xlfn.IFS(D779&lt;40000,"Low Income",D779&lt;=80000,"Moderate Income",D779&gt;80000,"High Income")</f>
        <v>Moderate Income</v>
      </c>
      <c r="F779">
        <v>0</v>
      </c>
      <c r="G779" t="s">
        <v>30</v>
      </c>
      <c r="H779" t="s">
        <v>16</v>
      </c>
      <c r="I779" t="s">
        <v>17</v>
      </c>
      <c r="J779">
        <v>2</v>
      </c>
      <c r="K779" t="s">
        <v>26</v>
      </c>
      <c r="L779" t="s">
        <v>35</v>
      </c>
      <c r="M779">
        <v>27</v>
      </c>
      <c r="N779" t="str">
        <f t="shared" si="12"/>
        <v>Young Adults</v>
      </c>
      <c r="O779" t="s">
        <v>20</v>
      </c>
    </row>
    <row r="780" spans="1:15">
      <c r="A780">
        <v>17260</v>
      </c>
      <c r="B780" t="s">
        <v>63</v>
      </c>
      <c r="C780" t="s">
        <v>49</v>
      </c>
      <c r="D780" s="1">
        <v>90000</v>
      </c>
      <c r="E780" t="str" cm="1">
        <f t="array" ref="E780">_xlfn.IFS(D780&lt;40000,"Low Income",D780&lt;=80000,"Moderate Income",D780&gt;80000,"High Income")</f>
        <v>High Income</v>
      </c>
      <c r="F780">
        <v>5</v>
      </c>
      <c r="G780" t="s">
        <v>21</v>
      </c>
      <c r="H780" t="s">
        <v>23</v>
      </c>
      <c r="I780" t="s">
        <v>17</v>
      </c>
      <c r="J780">
        <v>3</v>
      </c>
      <c r="K780" t="s">
        <v>18</v>
      </c>
      <c r="L780" t="s">
        <v>35</v>
      </c>
      <c r="M780">
        <v>41</v>
      </c>
      <c r="N780" t="str">
        <f t="shared" si="12"/>
        <v>Middle-Aged</v>
      </c>
      <c r="O780" t="s">
        <v>20</v>
      </c>
    </row>
    <row r="781" spans="1:15">
      <c r="A781">
        <v>15372</v>
      </c>
      <c r="B781" t="s">
        <v>63</v>
      </c>
      <c r="C781" t="s">
        <v>49</v>
      </c>
      <c r="D781" s="1">
        <v>80000</v>
      </c>
      <c r="E781" t="str" cm="1">
        <f t="array" ref="E781">_xlfn.IFS(D781&lt;40000,"Low Income",D781&lt;=80000,"Moderate Income",D781&gt;80000,"High Income")</f>
        <v>Moderate Income</v>
      </c>
      <c r="F781">
        <v>3</v>
      </c>
      <c r="G781" t="s">
        <v>21</v>
      </c>
      <c r="H781" t="s">
        <v>23</v>
      </c>
      <c r="I781" t="s">
        <v>20</v>
      </c>
      <c r="J781">
        <v>2</v>
      </c>
      <c r="K781" t="s">
        <v>24</v>
      </c>
      <c r="L781" t="s">
        <v>35</v>
      </c>
      <c r="M781">
        <v>50</v>
      </c>
      <c r="N781" t="str">
        <f t="shared" si="12"/>
        <v>Middle-Aged</v>
      </c>
      <c r="O781" t="s">
        <v>17</v>
      </c>
    </row>
    <row r="782" spans="1:15">
      <c r="A782">
        <v>18105</v>
      </c>
      <c r="B782" t="s">
        <v>63</v>
      </c>
      <c r="C782" t="s">
        <v>47</v>
      </c>
      <c r="D782" s="1">
        <v>60000</v>
      </c>
      <c r="E782" t="str" cm="1">
        <f t="array" ref="E782">_xlfn.IFS(D782&lt;40000,"Low Income",D782&lt;=80000,"Moderate Income",D782&gt;80000,"High Income")</f>
        <v>Moderate Income</v>
      </c>
      <c r="F782">
        <v>2</v>
      </c>
      <c r="G782" t="s">
        <v>21</v>
      </c>
      <c r="H782" t="s">
        <v>23</v>
      </c>
      <c r="I782" t="s">
        <v>17</v>
      </c>
      <c r="J782">
        <v>1</v>
      </c>
      <c r="K782" t="s">
        <v>61</v>
      </c>
      <c r="L782" t="s">
        <v>35</v>
      </c>
      <c r="M782">
        <v>55</v>
      </c>
      <c r="N782" t="str">
        <f t="shared" si="12"/>
        <v>Middle-Aged</v>
      </c>
      <c r="O782" t="s">
        <v>20</v>
      </c>
    </row>
    <row r="783" spans="1:15">
      <c r="A783">
        <v>19660</v>
      </c>
      <c r="B783" t="s">
        <v>63</v>
      </c>
      <c r="C783" t="s">
        <v>49</v>
      </c>
      <c r="D783" s="1">
        <v>80000</v>
      </c>
      <c r="E783" t="str" cm="1">
        <f t="array" ref="E783">_xlfn.IFS(D783&lt;40000,"Low Income",D783&lt;=80000,"Moderate Income",D783&gt;80000,"High Income")</f>
        <v>Moderate Income</v>
      </c>
      <c r="F783">
        <v>4</v>
      </c>
      <c r="G783" t="s">
        <v>15</v>
      </c>
      <c r="H783" t="s">
        <v>31</v>
      </c>
      <c r="I783" t="s">
        <v>17</v>
      </c>
      <c r="J783">
        <v>0</v>
      </c>
      <c r="K783" t="s">
        <v>18</v>
      </c>
      <c r="L783" t="s">
        <v>35</v>
      </c>
      <c r="M783">
        <v>43</v>
      </c>
      <c r="N783" t="str">
        <f t="shared" si="12"/>
        <v>Middle-Aged</v>
      </c>
      <c r="O783" t="s">
        <v>20</v>
      </c>
    </row>
    <row r="784" spans="1:15">
      <c r="A784">
        <v>16112</v>
      </c>
      <c r="B784" t="s">
        <v>64</v>
      </c>
      <c r="C784" t="s">
        <v>49</v>
      </c>
      <c r="D784" s="1">
        <v>70000</v>
      </c>
      <c r="E784" t="str" cm="1">
        <f t="array" ref="E784">_xlfn.IFS(D784&lt;40000,"Low Income",D784&lt;=80000,"Moderate Income",D784&gt;80000,"High Income")</f>
        <v>Moderate Income</v>
      </c>
      <c r="F784">
        <v>4</v>
      </c>
      <c r="G784" t="s">
        <v>15</v>
      </c>
      <c r="H784" t="s">
        <v>23</v>
      </c>
      <c r="I784" t="s">
        <v>17</v>
      </c>
      <c r="J784">
        <v>2</v>
      </c>
      <c r="K784" t="s">
        <v>24</v>
      </c>
      <c r="L784" t="s">
        <v>35</v>
      </c>
      <c r="M784">
        <v>43</v>
      </c>
      <c r="N784" t="str">
        <f t="shared" si="12"/>
        <v>Middle-Aged</v>
      </c>
      <c r="O784" t="s">
        <v>17</v>
      </c>
    </row>
    <row r="785" spans="1:15">
      <c r="A785">
        <v>20698</v>
      </c>
      <c r="B785" t="s">
        <v>63</v>
      </c>
      <c r="C785" t="s">
        <v>49</v>
      </c>
      <c r="D785" s="1">
        <v>60000</v>
      </c>
      <c r="E785" t="str" cm="1">
        <f t="array" ref="E785">_xlfn.IFS(D785&lt;40000,"Low Income",D785&lt;=80000,"Moderate Income",D785&gt;80000,"High Income")</f>
        <v>Moderate Income</v>
      </c>
      <c r="F785">
        <v>4</v>
      </c>
      <c r="G785" t="s">
        <v>15</v>
      </c>
      <c r="H785" t="s">
        <v>16</v>
      </c>
      <c r="I785" t="s">
        <v>17</v>
      </c>
      <c r="J785">
        <v>3</v>
      </c>
      <c r="K785" t="s">
        <v>26</v>
      </c>
      <c r="L785" t="s">
        <v>35</v>
      </c>
      <c r="M785">
        <v>42</v>
      </c>
      <c r="N785" t="str">
        <f t="shared" si="12"/>
        <v>Middle-Aged</v>
      </c>
      <c r="O785" t="s">
        <v>20</v>
      </c>
    </row>
    <row r="786" spans="1:15">
      <c r="A786">
        <v>20076</v>
      </c>
      <c r="B786" t="s">
        <v>64</v>
      </c>
      <c r="C786" t="s">
        <v>47</v>
      </c>
      <c r="D786" s="1">
        <v>10000</v>
      </c>
      <c r="E786" t="str" cm="1">
        <f t="array" ref="E786">_xlfn.IFS(D786&lt;40000,"Low Income",D786&lt;=80000,"Moderate Income",D786&gt;80000,"High Income")</f>
        <v>Low Income</v>
      </c>
      <c r="F786">
        <v>2</v>
      </c>
      <c r="G786" t="s">
        <v>30</v>
      </c>
      <c r="H786" t="s">
        <v>28</v>
      </c>
      <c r="I786" t="s">
        <v>17</v>
      </c>
      <c r="J786">
        <v>2</v>
      </c>
      <c r="K786" t="s">
        <v>29</v>
      </c>
      <c r="L786" t="s">
        <v>35</v>
      </c>
      <c r="M786">
        <v>53</v>
      </c>
      <c r="N786" t="str">
        <f t="shared" si="12"/>
        <v>Middle-Aged</v>
      </c>
      <c r="O786" t="s">
        <v>17</v>
      </c>
    </row>
    <row r="787" spans="1:15">
      <c r="A787">
        <v>24496</v>
      </c>
      <c r="B787" t="s">
        <v>64</v>
      </c>
      <c r="C787" t="s">
        <v>47</v>
      </c>
      <c r="D787" s="1">
        <v>40000</v>
      </c>
      <c r="E787" t="str" cm="1">
        <f t="array" ref="E787">_xlfn.IFS(D787&lt;40000,"Low Income",D787&lt;=80000,"Moderate Income",D787&gt;80000,"High Income")</f>
        <v>Moderate Income</v>
      </c>
      <c r="F787">
        <v>0</v>
      </c>
      <c r="G787" t="s">
        <v>30</v>
      </c>
      <c r="H787" t="s">
        <v>16</v>
      </c>
      <c r="I787" t="s">
        <v>20</v>
      </c>
      <c r="J787">
        <v>2</v>
      </c>
      <c r="K787" t="s">
        <v>18</v>
      </c>
      <c r="L787" t="s">
        <v>35</v>
      </c>
      <c r="M787">
        <v>28</v>
      </c>
      <c r="N787" t="str">
        <f t="shared" si="12"/>
        <v>Young Adults</v>
      </c>
      <c r="O787" t="s">
        <v>17</v>
      </c>
    </row>
    <row r="788" spans="1:15">
      <c r="A788">
        <v>15468</v>
      </c>
      <c r="B788" t="s">
        <v>63</v>
      </c>
      <c r="C788" t="s">
        <v>47</v>
      </c>
      <c r="D788" s="1">
        <v>50000</v>
      </c>
      <c r="E788" t="str" cm="1">
        <f t="array" ref="E788">_xlfn.IFS(D788&lt;40000,"Low Income",D788&lt;=80000,"Moderate Income",D788&gt;80000,"High Income")</f>
        <v>Moderate Income</v>
      </c>
      <c r="F788">
        <v>1</v>
      </c>
      <c r="G788" t="s">
        <v>15</v>
      </c>
      <c r="H788" t="s">
        <v>16</v>
      </c>
      <c r="I788" t="s">
        <v>17</v>
      </c>
      <c r="J788">
        <v>1</v>
      </c>
      <c r="K788" t="s">
        <v>18</v>
      </c>
      <c r="L788" t="s">
        <v>35</v>
      </c>
      <c r="M788">
        <v>35</v>
      </c>
      <c r="N788" t="str">
        <f t="shared" si="12"/>
        <v>Middle-Aged</v>
      </c>
      <c r="O788" t="s">
        <v>20</v>
      </c>
    </row>
    <row r="789" spans="1:15">
      <c r="A789">
        <v>28031</v>
      </c>
      <c r="B789" t="s">
        <v>64</v>
      </c>
      <c r="C789" t="s">
        <v>47</v>
      </c>
      <c r="D789" s="1">
        <v>70000</v>
      </c>
      <c r="E789" t="str" cm="1">
        <f t="array" ref="E789">_xlfn.IFS(D789&lt;40000,"Low Income",D789&lt;=80000,"Moderate Income",D789&gt;80000,"High Income")</f>
        <v>Moderate Income</v>
      </c>
      <c r="F789">
        <v>2</v>
      </c>
      <c r="G789" t="s">
        <v>15</v>
      </c>
      <c r="H789" t="s">
        <v>31</v>
      </c>
      <c r="I789" t="s">
        <v>20</v>
      </c>
      <c r="J789">
        <v>1</v>
      </c>
      <c r="K789" t="s">
        <v>24</v>
      </c>
      <c r="L789" t="s">
        <v>35</v>
      </c>
      <c r="M789">
        <v>59</v>
      </c>
      <c r="N789" t="str">
        <f t="shared" si="12"/>
        <v>Middle-Aged</v>
      </c>
      <c r="O789" t="s">
        <v>17</v>
      </c>
    </row>
    <row r="790" spans="1:15">
      <c r="A790">
        <v>26270</v>
      </c>
      <c r="B790" t="s">
        <v>64</v>
      </c>
      <c r="C790" t="s">
        <v>47</v>
      </c>
      <c r="D790" s="1">
        <v>20000</v>
      </c>
      <c r="E790" t="str" cm="1">
        <f t="array" ref="E790">_xlfn.IFS(D790&lt;40000,"Low Income",D790&lt;=80000,"Moderate Income",D790&gt;80000,"High Income")</f>
        <v>Low Income</v>
      </c>
      <c r="F790">
        <v>2</v>
      </c>
      <c r="G790" t="s">
        <v>32</v>
      </c>
      <c r="H790" t="s">
        <v>22</v>
      </c>
      <c r="I790" t="s">
        <v>17</v>
      </c>
      <c r="J790">
        <v>2</v>
      </c>
      <c r="K790" t="s">
        <v>29</v>
      </c>
      <c r="L790" t="s">
        <v>35</v>
      </c>
      <c r="M790">
        <v>49</v>
      </c>
      <c r="N790" t="str">
        <f t="shared" si="12"/>
        <v>Middle-Aged</v>
      </c>
      <c r="O790" t="s">
        <v>20</v>
      </c>
    </row>
    <row r="791" spans="1:15">
      <c r="A791">
        <v>22221</v>
      </c>
      <c r="B791" t="s">
        <v>63</v>
      </c>
      <c r="C791" t="s">
        <v>49</v>
      </c>
      <c r="D791" s="1">
        <v>60000</v>
      </c>
      <c r="E791" t="str" cm="1">
        <f t="array" ref="E791">_xlfn.IFS(D791&lt;40000,"Low Income",D791&lt;=80000,"Moderate Income",D791&gt;80000,"High Income")</f>
        <v>Moderate Income</v>
      </c>
      <c r="F791">
        <v>2</v>
      </c>
      <c r="G791" t="s">
        <v>30</v>
      </c>
      <c r="H791" t="s">
        <v>23</v>
      </c>
      <c r="I791" t="s">
        <v>20</v>
      </c>
      <c r="J791">
        <v>2</v>
      </c>
      <c r="K791" t="s">
        <v>29</v>
      </c>
      <c r="L791" t="s">
        <v>35</v>
      </c>
      <c r="M791">
        <v>48</v>
      </c>
      <c r="N791" t="str">
        <f t="shared" si="12"/>
        <v>Middle-Aged</v>
      </c>
      <c r="O791" t="s">
        <v>17</v>
      </c>
    </row>
    <row r="792" spans="1:15">
      <c r="A792">
        <v>28228</v>
      </c>
      <c r="B792" t="s">
        <v>64</v>
      </c>
      <c r="C792" t="s">
        <v>47</v>
      </c>
      <c r="D792" s="1">
        <v>80000</v>
      </c>
      <c r="E792" t="str" cm="1">
        <f t="array" ref="E792">_xlfn.IFS(D792&lt;40000,"Low Income",D792&lt;=80000,"Moderate Income",D792&gt;80000,"High Income")</f>
        <v>Moderate Income</v>
      </c>
      <c r="F792">
        <v>2</v>
      </c>
      <c r="G792" t="s">
        <v>32</v>
      </c>
      <c r="H792" t="s">
        <v>16</v>
      </c>
      <c r="I792" t="s">
        <v>20</v>
      </c>
      <c r="J792">
        <v>2</v>
      </c>
      <c r="K792" t="s">
        <v>29</v>
      </c>
      <c r="L792" t="s">
        <v>35</v>
      </c>
      <c r="M792">
        <v>50</v>
      </c>
      <c r="N792" t="str">
        <f t="shared" si="12"/>
        <v>Middle-Aged</v>
      </c>
      <c r="O792" t="s">
        <v>20</v>
      </c>
    </row>
    <row r="793" spans="1:15">
      <c r="A793">
        <v>18363</v>
      </c>
      <c r="B793" t="s">
        <v>63</v>
      </c>
      <c r="C793" t="s">
        <v>49</v>
      </c>
      <c r="D793" s="1">
        <v>40000</v>
      </c>
      <c r="E793" t="str" cm="1">
        <f t="array" ref="E793">_xlfn.IFS(D793&lt;40000,"Low Income",D793&lt;=80000,"Moderate Income",D793&gt;80000,"High Income")</f>
        <v>Moderate Income</v>
      </c>
      <c r="F793">
        <v>0</v>
      </c>
      <c r="G793" t="s">
        <v>30</v>
      </c>
      <c r="H793" t="s">
        <v>16</v>
      </c>
      <c r="I793" t="s">
        <v>17</v>
      </c>
      <c r="J793">
        <v>2</v>
      </c>
      <c r="K793" t="s">
        <v>26</v>
      </c>
      <c r="L793" t="s">
        <v>35</v>
      </c>
      <c r="M793">
        <v>28</v>
      </c>
      <c r="N793" t="str">
        <f t="shared" si="12"/>
        <v>Young Adults</v>
      </c>
      <c r="O793" t="s">
        <v>17</v>
      </c>
    </row>
    <row r="794" spans="1:15">
      <c r="A794">
        <v>23256</v>
      </c>
      <c r="B794" t="s">
        <v>64</v>
      </c>
      <c r="C794" t="s">
        <v>49</v>
      </c>
      <c r="D794" s="1">
        <v>30000</v>
      </c>
      <c r="E794" t="str" cm="1">
        <f t="array" ref="E794">_xlfn.IFS(D794&lt;40000,"Low Income",D794&lt;=80000,"Moderate Income",D794&gt;80000,"High Income")</f>
        <v>Low Income</v>
      </c>
      <c r="F794">
        <v>1</v>
      </c>
      <c r="G794" t="s">
        <v>30</v>
      </c>
      <c r="H794" t="s">
        <v>22</v>
      </c>
      <c r="I794" t="s">
        <v>20</v>
      </c>
      <c r="J794">
        <v>1</v>
      </c>
      <c r="K794" t="s">
        <v>26</v>
      </c>
      <c r="L794" t="s">
        <v>35</v>
      </c>
      <c r="M794">
        <v>52</v>
      </c>
      <c r="N794" t="str">
        <f t="shared" si="12"/>
        <v>Middle-Aged</v>
      </c>
      <c r="O794" t="s">
        <v>20</v>
      </c>
    </row>
    <row r="795" spans="1:15">
      <c r="A795">
        <v>12768</v>
      </c>
      <c r="B795" t="s">
        <v>63</v>
      </c>
      <c r="C795" t="s">
        <v>49</v>
      </c>
      <c r="D795" s="1">
        <v>30000</v>
      </c>
      <c r="E795" t="str" cm="1">
        <f t="array" ref="E795">_xlfn.IFS(D795&lt;40000,"Low Income",D795&lt;=80000,"Moderate Income",D795&gt;80000,"High Income")</f>
        <v>Low Income</v>
      </c>
      <c r="F795">
        <v>1</v>
      </c>
      <c r="G795" t="s">
        <v>30</v>
      </c>
      <c r="H795" t="s">
        <v>22</v>
      </c>
      <c r="I795" t="s">
        <v>17</v>
      </c>
      <c r="J795">
        <v>1</v>
      </c>
      <c r="K795" t="s">
        <v>24</v>
      </c>
      <c r="L795" t="s">
        <v>35</v>
      </c>
      <c r="M795">
        <v>52</v>
      </c>
      <c r="N795" t="str">
        <f t="shared" si="12"/>
        <v>Middle-Aged</v>
      </c>
      <c r="O795" t="s">
        <v>17</v>
      </c>
    </row>
    <row r="796" spans="1:15">
      <c r="A796">
        <v>20361</v>
      </c>
      <c r="B796" t="s">
        <v>63</v>
      </c>
      <c r="C796" t="s">
        <v>49</v>
      </c>
      <c r="D796" s="1">
        <v>50000</v>
      </c>
      <c r="E796" t="str" cm="1">
        <f t="array" ref="E796">_xlfn.IFS(D796&lt;40000,"Low Income",D796&lt;=80000,"Moderate Income",D796&gt;80000,"High Income")</f>
        <v>Moderate Income</v>
      </c>
      <c r="F796">
        <v>2</v>
      </c>
      <c r="G796" t="s">
        <v>34</v>
      </c>
      <c r="H796" t="s">
        <v>31</v>
      </c>
      <c r="I796" t="s">
        <v>17</v>
      </c>
      <c r="J796">
        <v>2</v>
      </c>
      <c r="K796" t="s">
        <v>26</v>
      </c>
      <c r="L796" t="s">
        <v>35</v>
      </c>
      <c r="M796">
        <v>69</v>
      </c>
      <c r="N796" t="str">
        <f t="shared" si="12"/>
        <v>Seniors</v>
      </c>
      <c r="O796" t="s">
        <v>20</v>
      </c>
    </row>
    <row r="797" spans="1:15">
      <c r="A797">
        <v>21306</v>
      </c>
      <c r="B797" t="s">
        <v>64</v>
      </c>
      <c r="C797" t="s">
        <v>49</v>
      </c>
      <c r="D797" s="1">
        <v>60000</v>
      </c>
      <c r="E797" t="str" cm="1">
        <f t="array" ref="E797">_xlfn.IFS(D797&lt;40000,"Low Income",D797&lt;=80000,"Moderate Income",D797&gt;80000,"High Income")</f>
        <v>Moderate Income</v>
      </c>
      <c r="F797">
        <v>2</v>
      </c>
      <c r="G797" t="s">
        <v>30</v>
      </c>
      <c r="H797" t="s">
        <v>23</v>
      </c>
      <c r="I797" t="s">
        <v>17</v>
      </c>
      <c r="J797">
        <v>2</v>
      </c>
      <c r="K797" t="s">
        <v>26</v>
      </c>
      <c r="L797" t="s">
        <v>35</v>
      </c>
      <c r="M797">
        <v>51</v>
      </c>
      <c r="N797" t="str">
        <f t="shared" si="12"/>
        <v>Middle-Aged</v>
      </c>
      <c r="O797" t="s">
        <v>20</v>
      </c>
    </row>
    <row r="798" spans="1:15">
      <c r="A798">
        <v>13382</v>
      </c>
      <c r="B798" t="s">
        <v>63</v>
      </c>
      <c r="C798" t="s">
        <v>49</v>
      </c>
      <c r="D798" s="1">
        <v>70000</v>
      </c>
      <c r="E798" t="str" cm="1">
        <f t="array" ref="E798">_xlfn.IFS(D798&lt;40000,"Low Income",D798&lt;=80000,"Moderate Income",D798&gt;80000,"High Income")</f>
        <v>Moderate Income</v>
      </c>
      <c r="F798">
        <v>5</v>
      </c>
      <c r="G798" t="s">
        <v>21</v>
      </c>
      <c r="H798" t="s">
        <v>23</v>
      </c>
      <c r="I798" t="s">
        <v>17</v>
      </c>
      <c r="J798">
        <v>2</v>
      </c>
      <c r="K798" t="s">
        <v>29</v>
      </c>
      <c r="L798" t="s">
        <v>35</v>
      </c>
      <c r="M798">
        <v>57</v>
      </c>
      <c r="N798" t="str">
        <f t="shared" si="12"/>
        <v>Middle-Aged</v>
      </c>
      <c r="O798" t="s">
        <v>17</v>
      </c>
    </row>
    <row r="799" spans="1:15">
      <c r="A799">
        <v>20310</v>
      </c>
      <c r="B799" t="s">
        <v>64</v>
      </c>
      <c r="C799" t="s">
        <v>49</v>
      </c>
      <c r="D799" s="1">
        <v>60000</v>
      </c>
      <c r="E799" t="str" cm="1">
        <f t="array" ref="E799">_xlfn.IFS(D799&lt;40000,"Low Income",D799&lt;=80000,"Moderate Income",D799&gt;80000,"High Income")</f>
        <v>Moderate Income</v>
      </c>
      <c r="F799">
        <v>0</v>
      </c>
      <c r="G799" t="s">
        <v>21</v>
      </c>
      <c r="H799" t="s">
        <v>16</v>
      </c>
      <c r="I799" t="s">
        <v>17</v>
      </c>
      <c r="J799">
        <v>1</v>
      </c>
      <c r="K799" t="s">
        <v>26</v>
      </c>
      <c r="L799" t="s">
        <v>35</v>
      </c>
      <c r="M799">
        <v>27</v>
      </c>
      <c r="N799" t="str">
        <f t="shared" si="12"/>
        <v>Young Adults</v>
      </c>
      <c r="O799" t="s">
        <v>17</v>
      </c>
    </row>
    <row r="800" spans="1:15">
      <c r="A800">
        <v>22971</v>
      </c>
      <c r="B800" t="s">
        <v>64</v>
      </c>
      <c r="C800" t="s">
        <v>47</v>
      </c>
      <c r="D800" s="1">
        <v>30000</v>
      </c>
      <c r="E800" t="str" cm="1">
        <f t="array" ref="E800">_xlfn.IFS(D800&lt;40000,"Low Income",D800&lt;=80000,"Moderate Income",D800&gt;80000,"High Income")</f>
        <v>Low Income</v>
      </c>
      <c r="F800">
        <v>0</v>
      </c>
      <c r="G800" t="s">
        <v>30</v>
      </c>
      <c r="H800" t="s">
        <v>16</v>
      </c>
      <c r="I800" t="s">
        <v>20</v>
      </c>
      <c r="J800">
        <v>2</v>
      </c>
      <c r="K800" t="s">
        <v>18</v>
      </c>
      <c r="L800" t="s">
        <v>35</v>
      </c>
      <c r="M800">
        <v>25</v>
      </c>
      <c r="N800" t="str">
        <f t="shared" si="12"/>
        <v>Young Adults</v>
      </c>
      <c r="O800" t="s">
        <v>17</v>
      </c>
    </row>
    <row r="801" spans="1:15">
      <c r="A801">
        <v>15287</v>
      </c>
      <c r="B801" t="s">
        <v>64</v>
      </c>
      <c r="C801" t="s">
        <v>47</v>
      </c>
      <c r="D801" s="1">
        <v>50000</v>
      </c>
      <c r="E801" t="str" cm="1">
        <f t="array" ref="E801">_xlfn.IFS(D801&lt;40000,"Low Income",D801&lt;=80000,"Moderate Income",D801&gt;80000,"High Income")</f>
        <v>Moderate Income</v>
      </c>
      <c r="F801">
        <v>1</v>
      </c>
      <c r="G801" t="s">
        <v>34</v>
      </c>
      <c r="H801" t="s">
        <v>16</v>
      </c>
      <c r="I801" t="s">
        <v>17</v>
      </c>
      <c r="J801">
        <v>0</v>
      </c>
      <c r="K801" t="s">
        <v>29</v>
      </c>
      <c r="L801" t="s">
        <v>35</v>
      </c>
      <c r="M801">
        <v>33</v>
      </c>
      <c r="N801" t="str">
        <f t="shared" si="12"/>
        <v>Middle-Aged</v>
      </c>
      <c r="O801" t="s">
        <v>17</v>
      </c>
    </row>
    <row r="802" spans="1:15">
      <c r="A802">
        <v>15532</v>
      </c>
      <c r="B802" t="s">
        <v>64</v>
      </c>
      <c r="C802" t="s">
        <v>49</v>
      </c>
      <c r="D802" s="1">
        <v>60000</v>
      </c>
      <c r="E802" t="str" cm="1">
        <f t="array" ref="E802">_xlfn.IFS(D802&lt;40000,"Low Income",D802&lt;=80000,"Moderate Income",D802&gt;80000,"High Income")</f>
        <v>Moderate Income</v>
      </c>
      <c r="F802">
        <v>4</v>
      </c>
      <c r="G802" t="s">
        <v>15</v>
      </c>
      <c r="H802" t="s">
        <v>23</v>
      </c>
      <c r="I802" t="s">
        <v>17</v>
      </c>
      <c r="J802">
        <v>2</v>
      </c>
      <c r="K802" t="s">
        <v>24</v>
      </c>
      <c r="L802" t="s">
        <v>35</v>
      </c>
      <c r="M802">
        <v>43</v>
      </c>
      <c r="N802" t="str">
        <f t="shared" si="12"/>
        <v>Middle-Aged</v>
      </c>
      <c r="O802" t="s">
        <v>17</v>
      </c>
    </row>
    <row r="803" spans="1:15">
      <c r="A803">
        <v>11255</v>
      </c>
      <c r="B803" t="s">
        <v>63</v>
      </c>
      <c r="C803" t="s">
        <v>49</v>
      </c>
      <c r="D803" s="1">
        <v>70000</v>
      </c>
      <c r="E803" t="str" cm="1">
        <f t="array" ref="E803">_xlfn.IFS(D803&lt;40000,"Low Income",D803&lt;=80000,"Moderate Income",D803&gt;80000,"High Income")</f>
        <v>Moderate Income</v>
      </c>
      <c r="F803">
        <v>4</v>
      </c>
      <c r="G803" t="s">
        <v>34</v>
      </c>
      <c r="H803" t="s">
        <v>31</v>
      </c>
      <c r="I803" t="s">
        <v>17</v>
      </c>
      <c r="J803">
        <v>2</v>
      </c>
      <c r="K803" t="s">
        <v>26</v>
      </c>
      <c r="L803" t="s">
        <v>35</v>
      </c>
      <c r="M803">
        <v>73</v>
      </c>
      <c r="N803" t="str">
        <f t="shared" si="12"/>
        <v>Seniors</v>
      </c>
      <c r="O803" t="s">
        <v>20</v>
      </c>
    </row>
    <row r="804" spans="1:15">
      <c r="A804">
        <v>28090</v>
      </c>
      <c r="B804" t="s">
        <v>63</v>
      </c>
      <c r="C804" t="s">
        <v>49</v>
      </c>
      <c r="D804" s="1">
        <v>40000</v>
      </c>
      <c r="E804" t="str" cm="1">
        <f t="array" ref="E804">_xlfn.IFS(D804&lt;40000,"Low Income",D804&lt;=80000,"Moderate Income",D804&gt;80000,"High Income")</f>
        <v>Moderate Income</v>
      </c>
      <c r="F804">
        <v>0</v>
      </c>
      <c r="G804" t="s">
        <v>21</v>
      </c>
      <c r="H804" t="s">
        <v>16</v>
      </c>
      <c r="I804" t="s">
        <v>17</v>
      </c>
      <c r="J804">
        <v>1</v>
      </c>
      <c r="K804" t="s">
        <v>26</v>
      </c>
      <c r="L804" t="s">
        <v>35</v>
      </c>
      <c r="M804">
        <v>27</v>
      </c>
      <c r="N804" t="str">
        <f t="shared" si="12"/>
        <v>Young Adults</v>
      </c>
      <c r="O804" t="s">
        <v>20</v>
      </c>
    </row>
    <row r="805" spans="1:15">
      <c r="A805">
        <v>15255</v>
      </c>
      <c r="B805" t="s">
        <v>63</v>
      </c>
      <c r="C805" t="s">
        <v>49</v>
      </c>
      <c r="D805" s="1">
        <v>40000</v>
      </c>
      <c r="E805" t="str" cm="1">
        <f t="array" ref="E805">_xlfn.IFS(D805&lt;40000,"Low Income",D805&lt;=80000,"Moderate Income",D805&gt;80000,"High Income")</f>
        <v>Moderate Income</v>
      </c>
      <c r="F805">
        <v>0</v>
      </c>
      <c r="G805" t="s">
        <v>30</v>
      </c>
      <c r="H805" t="s">
        <v>16</v>
      </c>
      <c r="I805" t="s">
        <v>17</v>
      </c>
      <c r="J805">
        <v>2</v>
      </c>
      <c r="K805" t="s">
        <v>26</v>
      </c>
      <c r="L805" t="s">
        <v>35</v>
      </c>
      <c r="M805">
        <v>28</v>
      </c>
      <c r="N805" t="str">
        <f t="shared" si="12"/>
        <v>Young Adults</v>
      </c>
      <c r="O805" t="s">
        <v>17</v>
      </c>
    </row>
    <row r="806" spans="1:15">
      <c r="A806">
        <v>13154</v>
      </c>
      <c r="B806" t="s">
        <v>63</v>
      </c>
      <c r="C806" t="s">
        <v>49</v>
      </c>
      <c r="D806" s="1">
        <v>40000</v>
      </c>
      <c r="E806" t="str" cm="1">
        <f t="array" ref="E806">_xlfn.IFS(D806&lt;40000,"Low Income",D806&lt;=80000,"Moderate Income",D806&gt;80000,"High Income")</f>
        <v>Moderate Income</v>
      </c>
      <c r="F806">
        <v>0</v>
      </c>
      <c r="G806" t="s">
        <v>30</v>
      </c>
      <c r="H806" t="s">
        <v>16</v>
      </c>
      <c r="I806" t="s">
        <v>20</v>
      </c>
      <c r="J806">
        <v>2</v>
      </c>
      <c r="K806" t="s">
        <v>18</v>
      </c>
      <c r="L806" t="s">
        <v>35</v>
      </c>
      <c r="M806">
        <v>27</v>
      </c>
      <c r="N806" t="str">
        <f t="shared" si="12"/>
        <v>Young Adults</v>
      </c>
      <c r="O806" t="s">
        <v>17</v>
      </c>
    </row>
    <row r="807" spans="1:15">
      <c r="A807">
        <v>26778</v>
      </c>
      <c r="B807" t="s">
        <v>64</v>
      </c>
      <c r="C807" t="s">
        <v>47</v>
      </c>
      <c r="D807" s="1">
        <v>40000</v>
      </c>
      <c r="E807" t="str" cm="1">
        <f t="array" ref="E807">_xlfn.IFS(D807&lt;40000,"Low Income",D807&lt;=80000,"Moderate Income",D807&gt;80000,"High Income")</f>
        <v>Moderate Income</v>
      </c>
      <c r="F807">
        <v>0</v>
      </c>
      <c r="G807" t="s">
        <v>30</v>
      </c>
      <c r="H807" t="s">
        <v>16</v>
      </c>
      <c r="I807" t="s">
        <v>17</v>
      </c>
      <c r="J807">
        <v>2</v>
      </c>
      <c r="K807" t="s">
        <v>26</v>
      </c>
      <c r="L807" t="s">
        <v>35</v>
      </c>
      <c r="M807">
        <v>31</v>
      </c>
      <c r="N807" t="str">
        <f t="shared" si="12"/>
        <v>Middle-Aged</v>
      </c>
      <c r="O807" t="s">
        <v>20</v>
      </c>
    </row>
    <row r="808" spans="1:15">
      <c r="A808">
        <v>23248</v>
      </c>
      <c r="B808" t="s">
        <v>63</v>
      </c>
      <c r="C808" t="s">
        <v>47</v>
      </c>
      <c r="D808" s="1">
        <v>10000</v>
      </c>
      <c r="E808" t="str" cm="1">
        <f t="array" ref="E808">_xlfn.IFS(D808&lt;40000,"Low Income",D808&lt;=80000,"Moderate Income",D808&gt;80000,"High Income")</f>
        <v>Low Income</v>
      </c>
      <c r="F808">
        <v>2</v>
      </c>
      <c r="G808" t="s">
        <v>30</v>
      </c>
      <c r="H808" t="s">
        <v>28</v>
      </c>
      <c r="I808" t="s">
        <v>17</v>
      </c>
      <c r="J808">
        <v>2</v>
      </c>
      <c r="K808" t="s">
        <v>29</v>
      </c>
      <c r="L808" t="s">
        <v>35</v>
      </c>
      <c r="M808">
        <v>53</v>
      </c>
      <c r="N808" t="str">
        <f t="shared" si="12"/>
        <v>Middle-Aged</v>
      </c>
      <c r="O808" t="s">
        <v>20</v>
      </c>
    </row>
    <row r="809" spans="1:15">
      <c r="A809">
        <v>21417</v>
      </c>
      <c r="B809" t="s">
        <v>64</v>
      </c>
      <c r="C809" t="s">
        <v>47</v>
      </c>
      <c r="D809" s="1">
        <v>60000</v>
      </c>
      <c r="E809" t="str" cm="1">
        <f t="array" ref="E809">_xlfn.IFS(D809&lt;40000,"Low Income",D809&lt;=80000,"Moderate Income",D809&gt;80000,"High Income")</f>
        <v>Moderate Income</v>
      </c>
      <c r="F809">
        <v>0</v>
      </c>
      <c r="G809" t="s">
        <v>21</v>
      </c>
      <c r="H809" t="s">
        <v>23</v>
      </c>
      <c r="I809" t="s">
        <v>20</v>
      </c>
      <c r="J809">
        <v>2</v>
      </c>
      <c r="K809" t="s">
        <v>29</v>
      </c>
      <c r="L809" t="s">
        <v>35</v>
      </c>
      <c r="M809">
        <v>32</v>
      </c>
      <c r="N809" t="str">
        <f t="shared" si="12"/>
        <v>Middle-Aged</v>
      </c>
      <c r="O809" t="s">
        <v>17</v>
      </c>
    </row>
    <row r="810" spans="1:15">
      <c r="A810">
        <v>17668</v>
      </c>
      <c r="B810" t="s">
        <v>64</v>
      </c>
      <c r="C810" t="s">
        <v>49</v>
      </c>
      <c r="D810" s="1">
        <v>30000</v>
      </c>
      <c r="E810" t="str" cm="1">
        <f t="array" ref="E810">_xlfn.IFS(D810&lt;40000,"Low Income",D810&lt;=80000,"Moderate Income",D810&gt;80000,"High Income")</f>
        <v>Low Income</v>
      </c>
      <c r="F810">
        <v>2</v>
      </c>
      <c r="G810" t="s">
        <v>30</v>
      </c>
      <c r="H810" t="s">
        <v>16</v>
      </c>
      <c r="I810" t="s">
        <v>17</v>
      </c>
      <c r="J810">
        <v>2</v>
      </c>
      <c r="K810" t="s">
        <v>29</v>
      </c>
      <c r="L810" t="s">
        <v>35</v>
      </c>
      <c r="M810">
        <v>50</v>
      </c>
      <c r="N810" t="str">
        <f t="shared" si="12"/>
        <v>Middle-Aged</v>
      </c>
      <c r="O810" t="s">
        <v>17</v>
      </c>
    </row>
    <row r="811" spans="1:15">
      <c r="A811">
        <v>27994</v>
      </c>
      <c r="B811" t="s">
        <v>63</v>
      </c>
      <c r="C811" t="s">
        <v>47</v>
      </c>
      <c r="D811" s="1">
        <v>40000</v>
      </c>
      <c r="E811" t="str" cm="1">
        <f t="array" ref="E811">_xlfn.IFS(D811&lt;40000,"Low Income",D811&lt;=80000,"Moderate Income",D811&gt;80000,"High Income")</f>
        <v>Moderate Income</v>
      </c>
      <c r="F811">
        <v>4</v>
      </c>
      <c r="G811" t="s">
        <v>30</v>
      </c>
      <c r="H811" t="s">
        <v>23</v>
      </c>
      <c r="I811" t="s">
        <v>17</v>
      </c>
      <c r="J811">
        <v>2</v>
      </c>
      <c r="K811" t="s">
        <v>26</v>
      </c>
      <c r="L811" t="s">
        <v>35</v>
      </c>
      <c r="M811">
        <v>69</v>
      </c>
      <c r="N811" t="str">
        <f t="shared" si="12"/>
        <v>Seniors</v>
      </c>
      <c r="O811" t="s">
        <v>20</v>
      </c>
    </row>
    <row r="812" spans="1:15">
      <c r="A812">
        <v>20376</v>
      </c>
      <c r="B812" t="s">
        <v>64</v>
      </c>
      <c r="C812" t="s">
        <v>47</v>
      </c>
      <c r="D812" s="1">
        <v>70000</v>
      </c>
      <c r="E812" t="str" cm="1">
        <f t="array" ref="E812">_xlfn.IFS(D812&lt;40000,"Low Income",D812&lt;=80000,"Moderate Income",D812&gt;80000,"High Income")</f>
        <v>Moderate Income</v>
      </c>
      <c r="F812">
        <v>3</v>
      </c>
      <c r="G812" t="s">
        <v>34</v>
      </c>
      <c r="H812" t="s">
        <v>31</v>
      </c>
      <c r="I812" t="s">
        <v>17</v>
      </c>
      <c r="J812">
        <v>2</v>
      </c>
      <c r="K812" t="s">
        <v>26</v>
      </c>
      <c r="L812" t="s">
        <v>35</v>
      </c>
      <c r="M812">
        <v>52</v>
      </c>
      <c r="N812" t="str">
        <f t="shared" si="12"/>
        <v>Middle-Aged</v>
      </c>
      <c r="O812" t="s">
        <v>17</v>
      </c>
    </row>
    <row r="813" spans="1:15">
      <c r="A813">
        <v>25954</v>
      </c>
      <c r="B813" t="s">
        <v>63</v>
      </c>
      <c r="C813" t="s">
        <v>49</v>
      </c>
      <c r="D813" s="1">
        <v>60000</v>
      </c>
      <c r="E813" t="str" cm="1">
        <f t="array" ref="E813">_xlfn.IFS(D813&lt;40000,"Low Income",D813&lt;=80000,"Moderate Income",D813&gt;80000,"High Income")</f>
        <v>Moderate Income</v>
      </c>
      <c r="F813">
        <v>0</v>
      </c>
      <c r="G813" t="s">
        <v>21</v>
      </c>
      <c r="H813" t="s">
        <v>16</v>
      </c>
      <c r="I813" t="s">
        <v>20</v>
      </c>
      <c r="J813">
        <v>2</v>
      </c>
      <c r="K813" t="s">
        <v>29</v>
      </c>
      <c r="L813" t="s">
        <v>35</v>
      </c>
      <c r="M813">
        <v>31</v>
      </c>
      <c r="N813" t="str">
        <f t="shared" si="12"/>
        <v>Middle-Aged</v>
      </c>
      <c r="O813" t="s">
        <v>20</v>
      </c>
    </row>
    <row r="814" spans="1:15">
      <c r="A814">
        <v>15749</v>
      </c>
      <c r="B814" t="s">
        <v>64</v>
      </c>
      <c r="C814" t="s">
        <v>47</v>
      </c>
      <c r="D814" s="1">
        <v>70000</v>
      </c>
      <c r="E814" t="str" cm="1">
        <f t="array" ref="E814">_xlfn.IFS(D814&lt;40000,"Low Income",D814&lt;=80000,"Moderate Income",D814&gt;80000,"High Income")</f>
        <v>Moderate Income</v>
      </c>
      <c r="F814">
        <v>4</v>
      </c>
      <c r="G814" t="s">
        <v>15</v>
      </c>
      <c r="H814" t="s">
        <v>31</v>
      </c>
      <c r="I814" t="s">
        <v>17</v>
      </c>
      <c r="J814">
        <v>2</v>
      </c>
      <c r="K814" t="s">
        <v>61</v>
      </c>
      <c r="L814" t="s">
        <v>35</v>
      </c>
      <c r="M814">
        <v>61</v>
      </c>
      <c r="N814" t="str">
        <f t="shared" si="12"/>
        <v>Seniors</v>
      </c>
      <c r="O814" t="s">
        <v>20</v>
      </c>
    </row>
    <row r="815" spans="1:15">
      <c r="A815">
        <v>25899</v>
      </c>
      <c r="B815" t="s">
        <v>63</v>
      </c>
      <c r="C815" t="s">
        <v>47</v>
      </c>
      <c r="D815" s="1">
        <v>70000</v>
      </c>
      <c r="E815" t="str" cm="1">
        <f t="array" ref="E815">_xlfn.IFS(D815&lt;40000,"Low Income",D815&lt;=80000,"Moderate Income",D815&gt;80000,"High Income")</f>
        <v>Moderate Income</v>
      </c>
      <c r="F815">
        <v>2</v>
      </c>
      <c r="G815" t="s">
        <v>30</v>
      </c>
      <c r="H815" t="s">
        <v>23</v>
      </c>
      <c r="I815" t="s">
        <v>17</v>
      </c>
      <c r="J815">
        <v>2</v>
      </c>
      <c r="K815" t="s">
        <v>61</v>
      </c>
      <c r="L815" t="s">
        <v>35</v>
      </c>
      <c r="M815">
        <v>53</v>
      </c>
      <c r="N815" t="str">
        <f t="shared" si="12"/>
        <v>Middle-Aged</v>
      </c>
      <c r="O815" t="s">
        <v>20</v>
      </c>
    </row>
    <row r="816" spans="1:15">
      <c r="A816">
        <v>13351</v>
      </c>
      <c r="B816" t="s">
        <v>64</v>
      </c>
      <c r="C816" t="s">
        <v>47</v>
      </c>
      <c r="D816" s="1">
        <v>70000</v>
      </c>
      <c r="E816" t="str" cm="1">
        <f t="array" ref="E816">_xlfn.IFS(D816&lt;40000,"Low Income",D816&lt;=80000,"Moderate Income",D816&gt;80000,"High Income")</f>
        <v>Moderate Income</v>
      </c>
      <c r="F816">
        <v>4</v>
      </c>
      <c r="G816" t="s">
        <v>15</v>
      </c>
      <c r="H816" t="s">
        <v>31</v>
      </c>
      <c r="I816" t="s">
        <v>17</v>
      </c>
      <c r="J816">
        <v>2</v>
      </c>
      <c r="K816" t="s">
        <v>29</v>
      </c>
      <c r="L816" t="s">
        <v>35</v>
      </c>
      <c r="M816">
        <v>62</v>
      </c>
      <c r="N816" t="str">
        <f t="shared" si="12"/>
        <v>Seniors</v>
      </c>
      <c r="O816" t="s">
        <v>17</v>
      </c>
    </row>
    <row r="817" spans="1:15">
      <c r="A817">
        <v>23333</v>
      </c>
      <c r="B817" t="s">
        <v>63</v>
      </c>
      <c r="C817" t="s">
        <v>49</v>
      </c>
      <c r="D817" s="1">
        <v>40000</v>
      </c>
      <c r="E817" t="str" cm="1">
        <f t="array" ref="E817">_xlfn.IFS(D817&lt;40000,"Low Income",D817&lt;=80000,"Moderate Income",D817&gt;80000,"High Income")</f>
        <v>Moderate Income</v>
      </c>
      <c r="F817">
        <v>0</v>
      </c>
      <c r="G817" t="s">
        <v>21</v>
      </c>
      <c r="H817" t="s">
        <v>16</v>
      </c>
      <c r="I817" t="s">
        <v>20</v>
      </c>
      <c r="J817">
        <v>2</v>
      </c>
      <c r="K817" t="s">
        <v>29</v>
      </c>
      <c r="L817" t="s">
        <v>35</v>
      </c>
      <c r="M817">
        <v>30</v>
      </c>
      <c r="N817" t="str">
        <f t="shared" si="12"/>
        <v>Young Adults</v>
      </c>
      <c r="O817" t="s">
        <v>20</v>
      </c>
    </row>
    <row r="818" spans="1:15">
      <c r="A818">
        <v>21660</v>
      </c>
      <c r="B818" t="s">
        <v>63</v>
      </c>
      <c r="C818" t="s">
        <v>47</v>
      </c>
      <c r="D818" s="1">
        <v>60000</v>
      </c>
      <c r="E818" t="str" cm="1">
        <f t="array" ref="E818">_xlfn.IFS(D818&lt;40000,"Low Income",D818&lt;=80000,"Moderate Income",D818&gt;80000,"High Income")</f>
        <v>Moderate Income</v>
      </c>
      <c r="F818">
        <v>3</v>
      </c>
      <c r="G818" t="s">
        <v>34</v>
      </c>
      <c r="H818" t="s">
        <v>23</v>
      </c>
      <c r="I818" t="s">
        <v>17</v>
      </c>
      <c r="J818">
        <v>0</v>
      </c>
      <c r="K818" t="s">
        <v>24</v>
      </c>
      <c r="L818" t="s">
        <v>35</v>
      </c>
      <c r="M818">
        <v>43</v>
      </c>
      <c r="N818" t="str">
        <f t="shared" si="12"/>
        <v>Middle-Aged</v>
      </c>
      <c r="O818" t="s">
        <v>17</v>
      </c>
    </row>
    <row r="819" spans="1:15">
      <c r="A819">
        <v>17012</v>
      </c>
      <c r="B819" t="s">
        <v>63</v>
      </c>
      <c r="C819" t="s">
        <v>47</v>
      </c>
      <c r="D819" s="1">
        <v>60000</v>
      </c>
      <c r="E819" t="str" cm="1">
        <f t="array" ref="E819">_xlfn.IFS(D819&lt;40000,"Low Income",D819&lt;=80000,"Moderate Income",D819&gt;80000,"High Income")</f>
        <v>Moderate Income</v>
      </c>
      <c r="F819">
        <v>3</v>
      </c>
      <c r="G819" t="s">
        <v>34</v>
      </c>
      <c r="H819" t="s">
        <v>23</v>
      </c>
      <c r="I819" t="s">
        <v>17</v>
      </c>
      <c r="J819">
        <v>0</v>
      </c>
      <c r="K819" t="s">
        <v>24</v>
      </c>
      <c r="L819" t="s">
        <v>35</v>
      </c>
      <c r="M819">
        <v>42</v>
      </c>
      <c r="N819" t="str">
        <f t="shared" si="12"/>
        <v>Middle-Aged</v>
      </c>
      <c r="O819" t="s">
        <v>17</v>
      </c>
    </row>
    <row r="820" spans="1:15">
      <c r="A820">
        <v>24514</v>
      </c>
      <c r="B820" t="s">
        <v>63</v>
      </c>
      <c r="C820" t="s">
        <v>49</v>
      </c>
      <c r="D820" s="1">
        <v>40000</v>
      </c>
      <c r="E820" t="str" cm="1">
        <f t="array" ref="E820">_xlfn.IFS(D820&lt;40000,"Low Income",D820&lt;=80000,"Moderate Income",D820&gt;80000,"High Income")</f>
        <v>Moderate Income</v>
      </c>
      <c r="F820">
        <v>0</v>
      </c>
      <c r="G820" t="s">
        <v>21</v>
      </c>
      <c r="H820" t="s">
        <v>16</v>
      </c>
      <c r="I820" t="s">
        <v>17</v>
      </c>
      <c r="J820">
        <v>1</v>
      </c>
      <c r="K820" t="s">
        <v>26</v>
      </c>
      <c r="L820" t="s">
        <v>35</v>
      </c>
      <c r="M820">
        <v>30</v>
      </c>
      <c r="N820" t="str">
        <f t="shared" si="12"/>
        <v>Young Adults</v>
      </c>
      <c r="O820" t="s">
        <v>20</v>
      </c>
    </row>
    <row r="821" spans="1:15">
      <c r="A821">
        <v>27505</v>
      </c>
      <c r="B821" t="s">
        <v>64</v>
      </c>
      <c r="C821" t="s">
        <v>47</v>
      </c>
      <c r="D821" s="1">
        <v>40000</v>
      </c>
      <c r="E821" t="str" cm="1">
        <f t="array" ref="E821">_xlfn.IFS(D821&lt;40000,"Low Income",D821&lt;=80000,"Moderate Income",D821&gt;80000,"High Income")</f>
        <v>Moderate Income</v>
      </c>
      <c r="F821">
        <v>0</v>
      </c>
      <c r="G821" t="s">
        <v>30</v>
      </c>
      <c r="H821" t="s">
        <v>16</v>
      </c>
      <c r="I821" t="s">
        <v>17</v>
      </c>
      <c r="J821">
        <v>2</v>
      </c>
      <c r="K821" t="s">
        <v>26</v>
      </c>
      <c r="L821" t="s">
        <v>35</v>
      </c>
      <c r="M821">
        <v>30</v>
      </c>
      <c r="N821" t="str">
        <f t="shared" si="12"/>
        <v>Young Adults</v>
      </c>
      <c r="O821" t="s">
        <v>20</v>
      </c>
    </row>
    <row r="822" spans="1:15">
      <c r="A822">
        <v>29243</v>
      </c>
      <c r="B822" t="s">
        <v>64</v>
      </c>
      <c r="C822" t="s">
        <v>49</v>
      </c>
      <c r="D822" s="1">
        <v>110000</v>
      </c>
      <c r="E822" t="str" cm="1">
        <f t="array" ref="E822">_xlfn.IFS(D822&lt;40000,"Low Income",D822&lt;=80000,"Moderate Income",D822&gt;80000,"High Income")</f>
        <v>High Income</v>
      </c>
      <c r="F822">
        <v>1</v>
      </c>
      <c r="G822" t="s">
        <v>15</v>
      </c>
      <c r="H822" t="s">
        <v>31</v>
      </c>
      <c r="I822" t="s">
        <v>17</v>
      </c>
      <c r="J822">
        <v>1</v>
      </c>
      <c r="K822" t="s">
        <v>26</v>
      </c>
      <c r="L822" t="s">
        <v>35</v>
      </c>
      <c r="M822">
        <v>43</v>
      </c>
      <c r="N822" t="str">
        <f t="shared" si="12"/>
        <v>Middle-Aged</v>
      </c>
      <c r="O822" t="s">
        <v>20</v>
      </c>
    </row>
    <row r="823" spans="1:15">
      <c r="A823">
        <v>26582</v>
      </c>
      <c r="B823" t="s">
        <v>63</v>
      </c>
      <c r="C823" t="s">
        <v>49</v>
      </c>
      <c r="D823" s="1">
        <v>60000</v>
      </c>
      <c r="E823" t="str" cm="1">
        <f t="array" ref="E823">_xlfn.IFS(D823&lt;40000,"Low Income",D823&lt;=80000,"Moderate Income",D823&gt;80000,"High Income")</f>
        <v>Moderate Income</v>
      </c>
      <c r="F823">
        <v>0</v>
      </c>
      <c r="G823" t="s">
        <v>21</v>
      </c>
      <c r="H823" t="s">
        <v>16</v>
      </c>
      <c r="I823" t="s">
        <v>17</v>
      </c>
      <c r="J823">
        <v>2</v>
      </c>
      <c r="K823" t="s">
        <v>26</v>
      </c>
      <c r="L823" t="s">
        <v>35</v>
      </c>
      <c r="M823">
        <v>33</v>
      </c>
      <c r="N823" t="str">
        <f t="shared" si="12"/>
        <v>Middle-Aged</v>
      </c>
      <c r="O823" t="s">
        <v>17</v>
      </c>
    </row>
    <row r="824" spans="1:15">
      <c r="A824">
        <v>14271</v>
      </c>
      <c r="B824" t="s">
        <v>63</v>
      </c>
      <c r="C824" t="s">
        <v>49</v>
      </c>
      <c r="D824" s="1">
        <v>30000</v>
      </c>
      <c r="E824" t="str" cm="1">
        <f t="array" ref="E824">_xlfn.IFS(D824&lt;40000,"Low Income",D824&lt;=80000,"Moderate Income",D824&gt;80000,"High Income")</f>
        <v>Low Income</v>
      </c>
      <c r="F824">
        <v>0</v>
      </c>
      <c r="G824" t="s">
        <v>30</v>
      </c>
      <c r="H824" t="s">
        <v>16</v>
      </c>
      <c r="I824" t="s">
        <v>17</v>
      </c>
      <c r="J824">
        <v>2</v>
      </c>
      <c r="K824" t="s">
        <v>26</v>
      </c>
      <c r="L824" t="s">
        <v>35</v>
      </c>
      <c r="M824">
        <v>32</v>
      </c>
      <c r="N824" t="str">
        <f t="shared" si="12"/>
        <v>Middle-Aged</v>
      </c>
      <c r="O824" t="s">
        <v>20</v>
      </c>
    </row>
    <row r="825" spans="1:15">
      <c r="A825">
        <v>23041</v>
      </c>
      <c r="B825" t="s">
        <v>64</v>
      </c>
      <c r="C825" t="s">
        <v>47</v>
      </c>
      <c r="D825" s="1">
        <v>70000</v>
      </c>
      <c r="E825" t="str" cm="1">
        <f t="array" ref="E825">_xlfn.IFS(D825&lt;40000,"Low Income",D825&lt;=80000,"Moderate Income",D825&gt;80000,"High Income")</f>
        <v>Moderate Income</v>
      </c>
      <c r="F825">
        <v>4</v>
      </c>
      <c r="G825" t="s">
        <v>30</v>
      </c>
      <c r="H825" t="s">
        <v>23</v>
      </c>
      <c r="I825" t="s">
        <v>17</v>
      </c>
      <c r="J825">
        <v>0</v>
      </c>
      <c r="K825" t="s">
        <v>26</v>
      </c>
      <c r="L825" t="s">
        <v>35</v>
      </c>
      <c r="M825">
        <v>50</v>
      </c>
      <c r="N825" t="str">
        <f t="shared" si="12"/>
        <v>Middle-Aged</v>
      </c>
      <c r="O825" t="s">
        <v>17</v>
      </c>
    </row>
    <row r="826" spans="1:15">
      <c r="A826">
        <v>29048</v>
      </c>
      <c r="B826" t="s">
        <v>64</v>
      </c>
      <c r="C826" t="s">
        <v>49</v>
      </c>
      <c r="D826" s="1">
        <v>110000</v>
      </c>
      <c r="E826" t="str" cm="1">
        <f t="array" ref="E826">_xlfn.IFS(D826&lt;40000,"Low Income",D826&lt;=80000,"Moderate Income",D826&gt;80000,"High Income")</f>
        <v>High Income</v>
      </c>
      <c r="F826">
        <v>2</v>
      </c>
      <c r="G826" t="s">
        <v>15</v>
      </c>
      <c r="H826" t="s">
        <v>31</v>
      </c>
      <c r="I826" t="s">
        <v>20</v>
      </c>
      <c r="J826">
        <v>3</v>
      </c>
      <c r="K826" t="s">
        <v>18</v>
      </c>
      <c r="L826" t="s">
        <v>35</v>
      </c>
      <c r="M826">
        <v>37</v>
      </c>
      <c r="N826" t="str">
        <f t="shared" si="12"/>
        <v>Middle-Aged</v>
      </c>
      <c r="O826" t="s">
        <v>17</v>
      </c>
    </row>
    <row r="827" spans="1:15">
      <c r="A827">
        <v>24433</v>
      </c>
      <c r="B827" t="s">
        <v>63</v>
      </c>
      <c r="C827" t="s">
        <v>49</v>
      </c>
      <c r="D827" s="1">
        <v>70000</v>
      </c>
      <c r="E827" t="str" cm="1">
        <f t="array" ref="E827">_xlfn.IFS(D827&lt;40000,"Low Income",D827&lt;=80000,"Moderate Income",D827&gt;80000,"High Income")</f>
        <v>Moderate Income</v>
      </c>
      <c r="F827">
        <v>3</v>
      </c>
      <c r="G827" t="s">
        <v>30</v>
      </c>
      <c r="H827" t="s">
        <v>23</v>
      </c>
      <c r="I827" t="s">
        <v>20</v>
      </c>
      <c r="J827">
        <v>1</v>
      </c>
      <c r="K827" t="s">
        <v>29</v>
      </c>
      <c r="L827" t="s">
        <v>35</v>
      </c>
      <c r="M827">
        <v>52</v>
      </c>
      <c r="N827" t="str">
        <f t="shared" si="12"/>
        <v>Middle-Aged</v>
      </c>
      <c r="O827" t="s">
        <v>17</v>
      </c>
    </row>
    <row r="828" spans="1:15">
      <c r="A828">
        <v>15501</v>
      </c>
      <c r="B828" t="s">
        <v>63</v>
      </c>
      <c r="C828" t="s">
        <v>49</v>
      </c>
      <c r="D828" s="1">
        <v>70000</v>
      </c>
      <c r="E828" t="str" cm="1">
        <f t="array" ref="E828">_xlfn.IFS(D828&lt;40000,"Low Income",D828&lt;=80000,"Moderate Income",D828&gt;80000,"High Income")</f>
        <v>Moderate Income</v>
      </c>
      <c r="F828">
        <v>4</v>
      </c>
      <c r="G828" t="s">
        <v>34</v>
      </c>
      <c r="H828" t="s">
        <v>23</v>
      </c>
      <c r="I828" t="s">
        <v>17</v>
      </c>
      <c r="J828">
        <v>0</v>
      </c>
      <c r="K828" t="s">
        <v>24</v>
      </c>
      <c r="L828" t="s">
        <v>35</v>
      </c>
      <c r="M828">
        <v>36</v>
      </c>
      <c r="N828" t="str">
        <f t="shared" si="12"/>
        <v>Middle-Aged</v>
      </c>
      <c r="O828" t="s">
        <v>17</v>
      </c>
    </row>
    <row r="829" spans="1:15">
      <c r="A829">
        <v>13911</v>
      </c>
      <c r="B829" t="s">
        <v>64</v>
      </c>
      <c r="C829" t="s">
        <v>47</v>
      </c>
      <c r="D829" s="1">
        <v>80000</v>
      </c>
      <c r="E829" t="str" cm="1">
        <f t="array" ref="E829">_xlfn.IFS(D829&lt;40000,"Low Income",D829&lt;=80000,"Moderate Income",D829&gt;80000,"High Income")</f>
        <v>Moderate Income</v>
      </c>
      <c r="F829">
        <v>3</v>
      </c>
      <c r="G829" t="s">
        <v>15</v>
      </c>
      <c r="H829" t="s">
        <v>16</v>
      </c>
      <c r="I829" t="s">
        <v>17</v>
      </c>
      <c r="J829">
        <v>2</v>
      </c>
      <c r="K829" t="s">
        <v>24</v>
      </c>
      <c r="L829" t="s">
        <v>35</v>
      </c>
      <c r="M829">
        <v>41</v>
      </c>
      <c r="N829" t="str">
        <f t="shared" si="12"/>
        <v>Middle-Aged</v>
      </c>
      <c r="O829" t="s">
        <v>17</v>
      </c>
    </row>
    <row r="830" spans="1:15">
      <c r="A830">
        <v>20421</v>
      </c>
      <c r="B830" t="s">
        <v>64</v>
      </c>
      <c r="C830" t="s">
        <v>47</v>
      </c>
      <c r="D830" s="1">
        <v>40000</v>
      </c>
      <c r="E830" t="str" cm="1">
        <f t="array" ref="E830">_xlfn.IFS(D830&lt;40000,"Low Income",D830&lt;=80000,"Moderate Income",D830&gt;80000,"High Income")</f>
        <v>Moderate Income</v>
      </c>
      <c r="F830">
        <v>0</v>
      </c>
      <c r="G830" t="s">
        <v>32</v>
      </c>
      <c r="H830" t="s">
        <v>22</v>
      </c>
      <c r="I830" t="s">
        <v>17</v>
      </c>
      <c r="J830">
        <v>2</v>
      </c>
      <c r="K830" t="s">
        <v>26</v>
      </c>
      <c r="L830" t="s">
        <v>35</v>
      </c>
      <c r="M830">
        <v>26</v>
      </c>
      <c r="N830" t="str">
        <f t="shared" si="12"/>
        <v>Young Adults</v>
      </c>
      <c r="O830" t="s">
        <v>20</v>
      </c>
    </row>
    <row r="831" spans="1:15">
      <c r="A831">
        <v>16009</v>
      </c>
      <c r="B831" t="s">
        <v>64</v>
      </c>
      <c r="C831" t="s">
        <v>49</v>
      </c>
      <c r="D831" s="1">
        <v>170000</v>
      </c>
      <c r="E831" t="str" cm="1">
        <f t="array" ref="E831">_xlfn.IFS(D831&lt;40000,"Low Income",D831&lt;=80000,"Moderate Income",D831&gt;80000,"High Income")</f>
        <v>High Income</v>
      </c>
      <c r="F831">
        <v>1</v>
      </c>
      <c r="G831" t="s">
        <v>34</v>
      </c>
      <c r="H831" t="s">
        <v>31</v>
      </c>
      <c r="I831" t="s">
        <v>20</v>
      </c>
      <c r="J831">
        <v>4</v>
      </c>
      <c r="K831" t="s">
        <v>18</v>
      </c>
      <c r="L831" t="s">
        <v>35</v>
      </c>
      <c r="M831">
        <v>66</v>
      </c>
      <c r="N831" t="str">
        <f t="shared" si="12"/>
        <v>Seniors</v>
      </c>
      <c r="O831" t="s">
        <v>20</v>
      </c>
    </row>
    <row r="832" spans="1:15">
      <c r="A832">
        <v>18411</v>
      </c>
      <c r="B832" t="s">
        <v>63</v>
      </c>
      <c r="C832" t="s">
        <v>49</v>
      </c>
      <c r="D832" s="1">
        <v>60000</v>
      </c>
      <c r="E832" t="str" cm="1">
        <f t="array" ref="E832">_xlfn.IFS(D832&lt;40000,"Low Income",D832&lt;=80000,"Moderate Income",D832&gt;80000,"High Income")</f>
        <v>Moderate Income</v>
      </c>
      <c r="F832">
        <v>2</v>
      </c>
      <c r="G832" t="s">
        <v>30</v>
      </c>
      <c r="H832" t="s">
        <v>23</v>
      </c>
      <c r="I832" t="s">
        <v>20</v>
      </c>
      <c r="J832">
        <v>2</v>
      </c>
      <c r="K832" t="s">
        <v>26</v>
      </c>
      <c r="L832" t="s">
        <v>35</v>
      </c>
      <c r="M832">
        <v>51</v>
      </c>
      <c r="N832" t="str">
        <f t="shared" si="12"/>
        <v>Middle-Aged</v>
      </c>
      <c r="O832" t="s">
        <v>20</v>
      </c>
    </row>
    <row r="833" spans="1:15">
      <c r="A833">
        <v>19163</v>
      </c>
      <c r="B833" t="s">
        <v>63</v>
      </c>
      <c r="C833" t="s">
        <v>47</v>
      </c>
      <c r="D833" s="1">
        <v>70000</v>
      </c>
      <c r="E833" t="str" cm="1">
        <f t="array" ref="E833">_xlfn.IFS(D833&lt;40000,"Low Income",D833&lt;=80000,"Moderate Income",D833&gt;80000,"High Income")</f>
        <v>Moderate Income</v>
      </c>
      <c r="F833">
        <v>4</v>
      </c>
      <c r="G833" t="s">
        <v>15</v>
      </c>
      <c r="H833" t="s">
        <v>23</v>
      </c>
      <c r="I833" t="s">
        <v>17</v>
      </c>
      <c r="J833">
        <v>2</v>
      </c>
      <c r="K833" t="s">
        <v>18</v>
      </c>
      <c r="L833" t="s">
        <v>35</v>
      </c>
      <c r="M833">
        <v>43</v>
      </c>
      <c r="N833" t="str">
        <f t="shared" si="12"/>
        <v>Middle-Aged</v>
      </c>
      <c r="O833" t="s">
        <v>17</v>
      </c>
    </row>
    <row r="834" spans="1:15">
      <c r="A834">
        <v>18572</v>
      </c>
      <c r="B834" t="s">
        <v>63</v>
      </c>
      <c r="C834" t="s">
        <v>47</v>
      </c>
      <c r="D834" s="1">
        <v>60000</v>
      </c>
      <c r="E834" t="str" cm="1">
        <f t="array" ref="E834">_xlfn.IFS(D834&lt;40000,"Low Income",D834&lt;=80000,"Moderate Income",D834&gt;80000,"High Income")</f>
        <v>Moderate Income</v>
      </c>
      <c r="F834">
        <v>0</v>
      </c>
      <c r="G834" t="s">
        <v>34</v>
      </c>
      <c r="H834" t="s">
        <v>23</v>
      </c>
      <c r="I834" t="s">
        <v>17</v>
      </c>
      <c r="J834">
        <v>0</v>
      </c>
      <c r="K834" t="s">
        <v>18</v>
      </c>
      <c r="L834" t="s">
        <v>35</v>
      </c>
      <c r="M834">
        <v>39</v>
      </c>
      <c r="N834" t="str">
        <f t="shared" si="12"/>
        <v>Middle-Aged</v>
      </c>
      <c r="O834" t="s">
        <v>20</v>
      </c>
    </row>
    <row r="835" spans="1:15">
      <c r="A835">
        <v>27540</v>
      </c>
      <c r="B835" t="s">
        <v>64</v>
      </c>
      <c r="C835" t="s">
        <v>47</v>
      </c>
      <c r="D835" s="1">
        <v>70000</v>
      </c>
      <c r="E835" t="str" cm="1">
        <f t="array" ref="E835">_xlfn.IFS(D835&lt;40000,"Low Income",D835&lt;=80000,"Moderate Income",D835&gt;80000,"High Income")</f>
        <v>Moderate Income</v>
      </c>
      <c r="F835">
        <v>0</v>
      </c>
      <c r="G835" t="s">
        <v>15</v>
      </c>
      <c r="H835" t="s">
        <v>23</v>
      </c>
      <c r="I835" t="s">
        <v>20</v>
      </c>
      <c r="J835">
        <v>1</v>
      </c>
      <c r="K835" t="s">
        <v>18</v>
      </c>
      <c r="L835" t="s">
        <v>35</v>
      </c>
      <c r="M835">
        <v>37</v>
      </c>
      <c r="N835" t="str">
        <f t="shared" ref="N835:N898" si="13">IF(M835&gt;=60,"Seniors",IF(M835&gt;30,"Middle-Aged",IF(M835&lt;=30,"Young Adults")))</f>
        <v>Middle-Aged</v>
      </c>
      <c r="O835" t="s">
        <v>17</v>
      </c>
    </row>
    <row r="836" spans="1:15">
      <c r="A836">
        <v>19889</v>
      </c>
      <c r="B836" t="s">
        <v>64</v>
      </c>
      <c r="C836" t="s">
        <v>47</v>
      </c>
      <c r="D836" s="1">
        <v>70000</v>
      </c>
      <c r="E836" t="str" cm="1">
        <f t="array" ref="E836">_xlfn.IFS(D836&lt;40000,"Low Income",D836&lt;=80000,"Moderate Income",D836&gt;80000,"High Income")</f>
        <v>Moderate Income</v>
      </c>
      <c r="F836">
        <v>2</v>
      </c>
      <c r="G836" t="s">
        <v>32</v>
      </c>
      <c r="H836" t="s">
        <v>16</v>
      </c>
      <c r="I836" t="s">
        <v>20</v>
      </c>
      <c r="J836">
        <v>2</v>
      </c>
      <c r="K836" t="s">
        <v>24</v>
      </c>
      <c r="L836" t="s">
        <v>35</v>
      </c>
      <c r="M836">
        <v>54</v>
      </c>
      <c r="N836" t="str">
        <f t="shared" si="13"/>
        <v>Middle-Aged</v>
      </c>
      <c r="O836" t="s">
        <v>17</v>
      </c>
    </row>
    <row r="837" spans="1:15">
      <c r="A837">
        <v>12922</v>
      </c>
      <c r="B837" t="s">
        <v>64</v>
      </c>
      <c r="C837" t="s">
        <v>47</v>
      </c>
      <c r="D837" s="1">
        <v>60000</v>
      </c>
      <c r="E837" t="str" cm="1">
        <f t="array" ref="E837">_xlfn.IFS(D837&lt;40000,"Low Income",D837&lt;=80000,"Moderate Income",D837&gt;80000,"High Income")</f>
        <v>Moderate Income</v>
      </c>
      <c r="F837">
        <v>3</v>
      </c>
      <c r="G837" t="s">
        <v>15</v>
      </c>
      <c r="H837" t="s">
        <v>16</v>
      </c>
      <c r="I837" t="s">
        <v>17</v>
      </c>
      <c r="J837">
        <v>0</v>
      </c>
      <c r="K837" t="s">
        <v>24</v>
      </c>
      <c r="L837" t="s">
        <v>35</v>
      </c>
      <c r="M837">
        <v>40</v>
      </c>
      <c r="N837" t="str">
        <f t="shared" si="13"/>
        <v>Middle-Aged</v>
      </c>
      <c r="O837" t="s">
        <v>17</v>
      </c>
    </row>
    <row r="838" spans="1:15">
      <c r="A838">
        <v>18891</v>
      </c>
      <c r="B838" t="s">
        <v>63</v>
      </c>
      <c r="C838" t="s">
        <v>47</v>
      </c>
      <c r="D838" s="1">
        <v>40000</v>
      </c>
      <c r="E838" t="str" cm="1">
        <f t="array" ref="E838">_xlfn.IFS(D838&lt;40000,"Low Income",D838&lt;=80000,"Moderate Income",D838&gt;80000,"High Income")</f>
        <v>Moderate Income</v>
      </c>
      <c r="F838">
        <v>0</v>
      </c>
      <c r="G838" t="s">
        <v>21</v>
      </c>
      <c r="H838" t="s">
        <v>16</v>
      </c>
      <c r="I838" t="s">
        <v>17</v>
      </c>
      <c r="J838">
        <v>2</v>
      </c>
      <c r="K838" t="s">
        <v>26</v>
      </c>
      <c r="L838" t="s">
        <v>35</v>
      </c>
      <c r="M838">
        <v>28</v>
      </c>
      <c r="N838" t="str">
        <f t="shared" si="13"/>
        <v>Young Adults</v>
      </c>
      <c r="O838" t="s">
        <v>20</v>
      </c>
    </row>
    <row r="839" spans="1:15">
      <c r="A839">
        <v>16773</v>
      </c>
      <c r="B839" t="s">
        <v>63</v>
      </c>
      <c r="C839" t="s">
        <v>49</v>
      </c>
      <c r="D839" s="1">
        <v>60000</v>
      </c>
      <c r="E839" t="str" cm="1">
        <f t="array" ref="E839">_xlfn.IFS(D839&lt;40000,"Low Income",D839&lt;=80000,"Moderate Income",D839&gt;80000,"High Income")</f>
        <v>Moderate Income</v>
      </c>
      <c r="F839">
        <v>1</v>
      </c>
      <c r="G839" t="s">
        <v>34</v>
      </c>
      <c r="H839" t="s">
        <v>16</v>
      </c>
      <c r="I839" t="s">
        <v>17</v>
      </c>
      <c r="J839">
        <v>0</v>
      </c>
      <c r="K839" t="s">
        <v>18</v>
      </c>
      <c r="L839" t="s">
        <v>35</v>
      </c>
      <c r="M839">
        <v>33</v>
      </c>
      <c r="N839" t="str">
        <f t="shared" si="13"/>
        <v>Middle-Aged</v>
      </c>
      <c r="O839" t="s">
        <v>20</v>
      </c>
    </row>
    <row r="840" spans="1:15">
      <c r="A840">
        <v>19143</v>
      </c>
      <c r="B840" t="s">
        <v>64</v>
      </c>
      <c r="C840" t="s">
        <v>47</v>
      </c>
      <c r="D840" s="1">
        <v>80000</v>
      </c>
      <c r="E840" t="str" cm="1">
        <f t="array" ref="E840">_xlfn.IFS(D840&lt;40000,"Low Income",D840&lt;=80000,"Moderate Income",D840&gt;80000,"High Income")</f>
        <v>Moderate Income</v>
      </c>
      <c r="F840">
        <v>3</v>
      </c>
      <c r="G840" t="s">
        <v>15</v>
      </c>
      <c r="H840" t="s">
        <v>16</v>
      </c>
      <c r="I840" t="s">
        <v>17</v>
      </c>
      <c r="J840">
        <v>2</v>
      </c>
      <c r="K840" t="s">
        <v>24</v>
      </c>
      <c r="L840" t="s">
        <v>35</v>
      </c>
      <c r="M840">
        <v>41</v>
      </c>
      <c r="N840" t="str">
        <f t="shared" si="13"/>
        <v>Middle-Aged</v>
      </c>
      <c r="O840" t="s">
        <v>17</v>
      </c>
    </row>
    <row r="841" spans="1:15">
      <c r="A841">
        <v>23882</v>
      </c>
      <c r="B841" t="s">
        <v>64</v>
      </c>
      <c r="C841" t="s">
        <v>47</v>
      </c>
      <c r="D841" s="1">
        <v>80000</v>
      </c>
      <c r="E841" t="str" cm="1">
        <f t="array" ref="E841">_xlfn.IFS(D841&lt;40000,"Low Income",D841&lt;=80000,"Moderate Income",D841&gt;80000,"High Income")</f>
        <v>Moderate Income</v>
      </c>
      <c r="F841">
        <v>3</v>
      </c>
      <c r="G841" t="s">
        <v>34</v>
      </c>
      <c r="H841" t="s">
        <v>23</v>
      </c>
      <c r="I841" t="s">
        <v>17</v>
      </c>
      <c r="J841">
        <v>0</v>
      </c>
      <c r="K841" t="s">
        <v>18</v>
      </c>
      <c r="L841" t="s">
        <v>35</v>
      </c>
      <c r="M841">
        <v>37</v>
      </c>
      <c r="N841" t="str">
        <f t="shared" si="13"/>
        <v>Middle-Aged</v>
      </c>
      <c r="O841" t="s">
        <v>17</v>
      </c>
    </row>
    <row r="842" spans="1:15">
      <c r="A842">
        <v>11233</v>
      </c>
      <c r="B842" t="s">
        <v>63</v>
      </c>
      <c r="C842" t="s">
        <v>49</v>
      </c>
      <c r="D842" s="1">
        <v>70000</v>
      </c>
      <c r="E842" t="str" cm="1">
        <f t="array" ref="E842">_xlfn.IFS(D842&lt;40000,"Low Income",D842&lt;=80000,"Moderate Income",D842&gt;80000,"High Income")</f>
        <v>Moderate Income</v>
      </c>
      <c r="F842">
        <v>4</v>
      </c>
      <c r="G842" t="s">
        <v>21</v>
      </c>
      <c r="H842" t="s">
        <v>23</v>
      </c>
      <c r="I842" t="s">
        <v>17</v>
      </c>
      <c r="J842">
        <v>2</v>
      </c>
      <c r="K842" t="s">
        <v>61</v>
      </c>
      <c r="L842" t="s">
        <v>35</v>
      </c>
      <c r="M842">
        <v>53</v>
      </c>
      <c r="N842" t="str">
        <f t="shared" si="13"/>
        <v>Middle-Aged</v>
      </c>
      <c r="O842" t="s">
        <v>20</v>
      </c>
    </row>
    <row r="843" spans="1:15">
      <c r="A843">
        <v>12056</v>
      </c>
      <c r="B843" t="s">
        <v>63</v>
      </c>
      <c r="C843" t="s">
        <v>49</v>
      </c>
      <c r="D843" s="1">
        <v>120000</v>
      </c>
      <c r="E843" t="str" cm="1">
        <f t="array" ref="E843">_xlfn.IFS(D843&lt;40000,"Low Income",D843&lt;=80000,"Moderate Income",D843&gt;80000,"High Income")</f>
        <v>High Income</v>
      </c>
      <c r="F843">
        <v>2</v>
      </c>
      <c r="G843" t="s">
        <v>34</v>
      </c>
      <c r="H843" t="s">
        <v>31</v>
      </c>
      <c r="I843" t="s">
        <v>17</v>
      </c>
      <c r="J843">
        <v>3</v>
      </c>
      <c r="K843" t="s">
        <v>26</v>
      </c>
      <c r="L843" t="s">
        <v>35</v>
      </c>
      <c r="M843">
        <v>64</v>
      </c>
      <c r="N843" t="str">
        <f t="shared" si="13"/>
        <v>Seniors</v>
      </c>
      <c r="O843" t="s">
        <v>20</v>
      </c>
    </row>
    <row r="844" spans="1:15">
      <c r="A844">
        <v>15555</v>
      </c>
      <c r="B844" t="s">
        <v>63</v>
      </c>
      <c r="C844" t="s">
        <v>47</v>
      </c>
      <c r="D844" s="1">
        <v>60000</v>
      </c>
      <c r="E844" t="str" cm="1">
        <f t="array" ref="E844">_xlfn.IFS(D844&lt;40000,"Low Income",D844&lt;=80000,"Moderate Income",D844&gt;80000,"High Income")</f>
        <v>Moderate Income</v>
      </c>
      <c r="F844">
        <v>1</v>
      </c>
      <c r="G844" t="s">
        <v>21</v>
      </c>
      <c r="H844" t="s">
        <v>16</v>
      </c>
      <c r="I844" t="s">
        <v>17</v>
      </c>
      <c r="J844">
        <v>1</v>
      </c>
      <c r="K844" t="s">
        <v>24</v>
      </c>
      <c r="L844" t="s">
        <v>35</v>
      </c>
      <c r="M844">
        <v>45</v>
      </c>
      <c r="N844" t="str">
        <f t="shared" si="13"/>
        <v>Middle-Aged</v>
      </c>
      <c r="O844" t="s">
        <v>17</v>
      </c>
    </row>
    <row r="845" spans="1:15">
      <c r="A845">
        <v>18423</v>
      </c>
      <c r="B845" t="s">
        <v>64</v>
      </c>
      <c r="C845" t="s">
        <v>49</v>
      </c>
      <c r="D845" s="1">
        <v>80000</v>
      </c>
      <c r="E845" t="str" cm="1">
        <f t="array" ref="E845">_xlfn.IFS(D845&lt;40000,"Low Income",D845&lt;=80000,"Moderate Income",D845&gt;80000,"High Income")</f>
        <v>Moderate Income</v>
      </c>
      <c r="F845">
        <v>2</v>
      </c>
      <c r="G845" t="s">
        <v>32</v>
      </c>
      <c r="H845" t="s">
        <v>16</v>
      </c>
      <c r="I845" t="s">
        <v>20</v>
      </c>
      <c r="J845">
        <v>2</v>
      </c>
      <c r="K845" t="s">
        <v>29</v>
      </c>
      <c r="L845" t="s">
        <v>35</v>
      </c>
      <c r="M845">
        <v>52</v>
      </c>
      <c r="N845" t="str">
        <f t="shared" si="13"/>
        <v>Middle-Aged</v>
      </c>
      <c r="O845" t="s">
        <v>20</v>
      </c>
    </row>
    <row r="846" spans="1:15">
      <c r="A846">
        <v>22743</v>
      </c>
      <c r="B846" t="s">
        <v>63</v>
      </c>
      <c r="C846" t="s">
        <v>47</v>
      </c>
      <c r="D846" s="1">
        <v>40000</v>
      </c>
      <c r="E846" t="str" cm="1">
        <f t="array" ref="E846">_xlfn.IFS(D846&lt;40000,"Low Income",D846&lt;=80000,"Moderate Income",D846&gt;80000,"High Income")</f>
        <v>Moderate Income</v>
      </c>
      <c r="F846">
        <v>5</v>
      </c>
      <c r="G846" t="s">
        <v>30</v>
      </c>
      <c r="H846" t="s">
        <v>23</v>
      </c>
      <c r="I846" t="s">
        <v>17</v>
      </c>
      <c r="J846">
        <v>2</v>
      </c>
      <c r="K846" t="s">
        <v>61</v>
      </c>
      <c r="L846" t="s">
        <v>35</v>
      </c>
      <c r="M846">
        <v>60</v>
      </c>
      <c r="N846" t="str">
        <f t="shared" si="13"/>
        <v>Seniors</v>
      </c>
      <c r="O846" t="s">
        <v>20</v>
      </c>
    </row>
    <row r="847" spans="1:15">
      <c r="A847">
        <v>25343</v>
      </c>
      <c r="B847" t="s">
        <v>64</v>
      </c>
      <c r="C847" t="s">
        <v>47</v>
      </c>
      <c r="D847" s="1">
        <v>20000</v>
      </c>
      <c r="E847" t="str" cm="1">
        <f t="array" ref="E847">_xlfn.IFS(D847&lt;40000,"Low Income",D847&lt;=80000,"Moderate Income",D847&gt;80000,"High Income")</f>
        <v>Low Income</v>
      </c>
      <c r="F847">
        <v>3</v>
      </c>
      <c r="G847" t="s">
        <v>32</v>
      </c>
      <c r="H847" t="s">
        <v>22</v>
      </c>
      <c r="I847" t="s">
        <v>17</v>
      </c>
      <c r="J847">
        <v>2</v>
      </c>
      <c r="K847" t="s">
        <v>29</v>
      </c>
      <c r="L847" t="s">
        <v>35</v>
      </c>
      <c r="M847">
        <v>50</v>
      </c>
      <c r="N847" t="str">
        <f t="shared" si="13"/>
        <v>Middle-Aged</v>
      </c>
      <c r="O847" t="s">
        <v>20</v>
      </c>
    </row>
    <row r="848" spans="1:15">
      <c r="A848">
        <v>13390</v>
      </c>
      <c r="B848" t="s">
        <v>63</v>
      </c>
      <c r="C848" t="s">
        <v>47</v>
      </c>
      <c r="D848" s="1">
        <v>70000</v>
      </c>
      <c r="E848" t="str" cm="1">
        <f t="array" ref="E848">_xlfn.IFS(D848&lt;40000,"Low Income",D848&lt;=80000,"Moderate Income",D848&gt;80000,"High Income")</f>
        <v>Moderate Income</v>
      </c>
      <c r="F848">
        <v>4</v>
      </c>
      <c r="G848" t="s">
        <v>21</v>
      </c>
      <c r="H848" t="s">
        <v>23</v>
      </c>
      <c r="I848" t="s">
        <v>20</v>
      </c>
      <c r="J848">
        <v>1</v>
      </c>
      <c r="K848" t="s">
        <v>29</v>
      </c>
      <c r="L848" t="s">
        <v>35</v>
      </c>
      <c r="M848">
        <v>56</v>
      </c>
      <c r="N848" t="str">
        <f t="shared" si="13"/>
        <v>Middle-Aged</v>
      </c>
      <c r="O848" t="s">
        <v>20</v>
      </c>
    </row>
    <row r="849" spans="1:15">
      <c r="A849">
        <v>17482</v>
      </c>
      <c r="B849" t="s">
        <v>64</v>
      </c>
      <c r="C849" t="s">
        <v>47</v>
      </c>
      <c r="D849" s="1">
        <v>40000</v>
      </c>
      <c r="E849" t="str" cm="1">
        <f t="array" ref="E849">_xlfn.IFS(D849&lt;40000,"Low Income",D849&lt;=80000,"Moderate Income",D849&gt;80000,"High Income")</f>
        <v>Moderate Income</v>
      </c>
      <c r="F849">
        <v>0</v>
      </c>
      <c r="G849" t="s">
        <v>32</v>
      </c>
      <c r="H849" t="s">
        <v>22</v>
      </c>
      <c r="I849" t="s">
        <v>17</v>
      </c>
      <c r="J849">
        <v>2</v>
      </c>
      <c r="K849" t="s">
        <v>26</v>
      </c>
      <c r="L849" t="s">
        <v>35</v>
      </c>
      <c r="M849">
        <v>29</v>
      </c>
      <c r="N849" t="str">
        <f t="shared" si="13"/>
        <v>Young Adults</v>
      </c>
      <c r="O849" t="s">
        <v>20</v>
      </c>
    </row>
    <row r="850" spans="1:15">
      <c r="A850">
        <v>13176</v>
      </c>
      <c r="B850" t="s">
        <v>64</v>
      </c>
      <c r="C850" t="s">
        <v>49</v>
      </c>
      <c r="D850" s="1">
        <v>130000</v>
      </c>
      <c r="E850" t="str" cm="1">
        <f t="array" ref="E850">_xlfn.IFS(D850&lt;40000,"Low Income",D850&lt;=80000,"Moderate Income",D850&gt;80000,"High Income")</f>
        <v>High Income</v>
      </c>
      <c r="F850">
        <v>0</v>
      </c>
      <c r="G850" t="s">
        <v>34</v>
      </c>
      <c r="H850" t="s">
        <v>31</v>
      </c>
      <c r="I850" t="s">
        <v>20</v>
      </c>
      <c r="J850">
        <v>2</v>
      </c>
      <c r="K850" t="s">
        <v>18</v>
      </c>
      <c r="L850" t="s">
        <v>35</v>
      </c>
      <c r="M850">
        <v>38</v>
      </c>
      <c r="N850" t="str">
        <f t="shared" si="13"/>
        <v>Middle-Aged</v>
      </c>
      <c r="O850" t="s">
        <v>17</v>
      </c>
    </row>
    <row r="851" spans="1:15">
      <c r="A851">
        <v>20504</v>
      </c>
      <c r="B851" t="s">
        <v>63</v>
      </c>
      <c r="C851" t="s">
        <v>47</v>
      </c>
      <c r="D851" s="1">
        <v>40000</v>
      </c>
      <c r="E851" t="str" cm="1">
        <f t="array" ref="E851">_xlfn.IFS(D851&lt;40000,"Low Income",D851&lt;=80000,"Moderate Income",D851&gt;80000,"High Income")</f>
        <v>Moderate Income</v>
      </c>
      <c r="F851">
        <v>5</v>
      </c>
      <c r="G851" t="s">
        <v>30</v>
      </c>
      <c r="H851" t="s">
        <v>23</v>
      </c>
      <c r="I851" t="s">
        <v>20</v>
      </c>
      <c r="J851">
        <v>2</v>
      </c>
      <c r="K851" t="s">
        <v>24</v>
      </c>
      <c r="L851" t="s">
        <v>35</v>
      </c>
      <c r="M851">
        <v>60</v>
      </c>
      <c r="N851" t="str">
        <f t="shared" si="13"/>
        <v>Seniors</v>
      </c>
      <c r="O851" t="s">
        <v>20</v>
      </c>
    </row>
    <row r="852" spans="1:15">
      <c r="A852">
        <v>12205</v>
      </c>
      <c r="B852" t="s">
        <v>64</v>
      </c>
      <c r="C852" t="s">
        <v>47</v>
      </c>
      <c r="D852" s="1">
        <v>130000</v>
      </c>
      <c r="E852" t="str" cm="1">
        <f t="array" ref="E852">_xlfn.IFS(D852&lt;40000,"Low Income",D852&lt;=80000,"Moderate Income",D852&gt;80000,"High Income")</f>
        <v>High Income</v>
      </c>
      <c r="F852">
        <v>2</v>
      </c>
      <c r="G852" t="s">
        <v>15</v>
      </c>
      <c r="H852" t="s">
        <v>31</v>
      </c>
      <c r="I852" t="s">
        <v>20</v>
      </c>
      <c r="J852">
        <v>4</v>
      </c>
      <c r="K852" t="s">
        <v>18</v>
      </c>
      <c r="L852" t="s">
        <v>35</v>
      </c>
      <c r="M852">
        <v>67</v>
      </c>
      <c r="N852" t="str">
        <f t="shared" si="13"/>
        <v>Seniors</v>
      </c>
      <c r="O852" t="s">
        <v>20</v>
      </c>
    </row>
    <row r="853" spans="1:15">
      <c r="A853">
        <v>16751</v>
      </c>
      <c r="B853" t="s">
        <v>63</v>
      </c>
      <c r="C853" t="s">
        <v>49</v>
      </c>
      <c r="D853" s="1">
        <v>60000</v>
      </c>
      <c r="E853" t="str" cm="1">
        <f t="array" ref="E853">_xlfn.IFS(D853&lt;40000,"Low Income",D853&lt;=80000,"Moderate Income",D853&gt;80000,"High Income")</f>
        <v>Moderate Income</v>
      </c>
      <c r="F853">
        <v>0</v>
      </c>
      <c r="G853" t="s">
        <v>21</v>
      </c>
      <c r="H853" t="s">
        <v>16</v>
      </c>
      <c r="I853" t="s">
        <v>17</v>
      </c>
      <c r="J853">
        <v>1</v>
      </c>
      <c r="K853" t="s">
        <v>26</v>
      </c>
      <c r="L853" t="s">
        <v>35</v>
      </c>
      <c r="M853">
        <v>32</v>
      </c>
      <c r="N853" t="str">
        <f t="shared" si="13"/>
        <v>Middle-Aged</v>
      </c>
      <c r="O853" t="s">
        <v>17</v>
      </c>
    </row>
    <row r="854" spans="1:15">
      <c r="A854">
        <v>21613</v>
      </c>
      <c r="B854" t="s">
        <v>64</v>
      </c>
      <c r="C854" t="s">
        <v>49</v>
      </c>
      <c r="D854" s="1">
        <v>50000</v>
      </c>
      <c r="E854" t="str" cm="1">
        <f t="array" ref="E854">_xlfn.IFS(D854&lt;40000,"Low Income",D854&lt;=80000,"Moderate Income",D854&gt;80000,"High Income")</f>
        <v>Moderate Income</v>
      </c>
      <c r="F854">
        <v>2</v>
      </c>
      <c r="G854" t="s">
        <v>15</v>
      </c>
      <c r="H854" t="s">
        <v>16</v>
      </c>
      <c r="I854" t="s">
        <v>20</v>
      </c>
      <c r="J854">
        <v>1</v>
      </c>
      <c r="K854" t="s">
        <v>18</v>
      </c>
      <c r="L854" t="s">
        <v>35</v>
      </c>
      <c r="M854">
        <v>39</v>
      </c>
      <c r="N854" t="str">
        <f t="shared" si="13"/>
        <v>Middle-Aged</v>
      </c>
      <c r="O854" t="s">
        <v>17</v>
      </c>
    </row>
    <row r="855" spans="1:15">
      <c r="A855">
        <v>24801</v>
      </c>
      <c r="B855" t="s">
        <v>64</v>
      </c>
      <c r="C855" t="s">
        <v>49</v>
      </c>
      <c r="D855" s="1">
        <v>60000</v>
      </c>
      <c r="E855" t="str" cm="1">
        <f t="array" ref="E855">_xlfn.IFS(D855&lt;40000,"Low Income",D855&lt;=80000,"Moderate Income",D855&gt;80000,"High Income")</f>
        <v>Moderate Income</v>
      </c>
      <c r="F855">
        <v>1</v>
      </c>
      <c r="G855" t="s">
        <v>34</v>
      </c>
      <c r="H855" t="s">
        <v>23</v>
      </c>
      <c r="I855" t="s">
        <v>17</v>
      </c>
      <c r="J855">
        <v>0</v>
      </c>
      <c r="K855" t="s">
        <v>24</v>
      </c>
      <c r="L855" t="s">
        <v>35</v>
      </c>
      <c r="M855">
        <v>35</v>
      </c>
      <c r="N855" t="str">
        <f t="shared" si="13"/>
        <v>Middle-Aged</v>
      </c>
      <c r="O855" t="s">
        <v>17</v>
      </c>
    </row>
    <row r="856" spans="1:15">
      <c r="A856">
        <v>17519</v>
      </c>
      <c r="B856" t="s">
        <v>63</v>
      </c>
      <c r="C856" t="s">
        <v>47</v>
      </c>
      <c r="D856" s="1">
        <v>60000</v>
      </c>
      <c r="E856" t="str" cm="1">
        <f t="array" ref="E856">_xlfn.IFS(D856&lt;40000,"Low Income",D856&lt;=80000,"Moderate Income",D856&gt;80000,"High Income")</f>
        <v>Moderate Income</v>
      </c>
      <c r="F856">
        <v>0</v>
      </c>
      <c r="G856" t="s">
        <v>21</v>
      </c>
      <c r="H856" t="s">
        <v>23</v>
      </c>
      <c r="I856" t="s">
        <v>17</v>
      </c>
      <c r="J856">
        <v>2</v>
      </c>
      <c r="K856" t="s">
        <v>26</v>
      </c>
      <c r="L856" t="s">
        <v>35</v>
      </c>
      <c r="M856">
        <v>32</v>
      </c>
      <c r="N856" t="str">
        <f t="shared" si="13"/>
        <v>Middle-Aged</v>
      </c>
      <c r="O856" t="s">
        <v>20</v>
      </c>
    </row>
    <row r="857" spans="1:15">
      <c r="A857">
        <v>18347</v>
      </c>
      <c r="B857" t="s">
        <v>64</v>
      </c>
      <c r="C857" t="s">
        <v>47</v>
      </c>
      <c r="D857" s="1">
        <v>30000</v>
      </c>
      <c r="E857" t="str" cm="1">
        <f t="array" ref="E857">_xlfn.IFS(D857&lt;40000,"Low Income",D857&lt;=80000,"Moderate Income",D857&gt;80000,"High Income")</f>
        <v>Low Income</v>
      </c>
      <c r="F857">
        <v>0</v>
      </c>
      <c r="G857" t="s">
        <v>21</v>
      </c>
      <c r="H857" t="s">
        <v>16</v>
      </c>
      <c r="I857" t="s">
        <v>20</v>
      </c>
      <c r="J857">
        <v>1</v>
      </c>
      <c r="K857" t="s">
        <v>29</v>
      </c>
      <c r="L857" t="s">
        <v>35</v>
      </c>
      <c r="M857">
        <v>31</v>
      </c>
      <c r="N857" t="str">
        <f t="shared" si="13"/>
        <v>Middle-Aged</v>
      </c>
      <c r="O857" t="s">
        <v>20</v>
      </c>
    </row>
    <row r="858" spans="1:15">
      <c r="A858">
        <v>29052</v>
      </c>
      <c r="B858" t="s">
        <v>64</v>
      </c>
      <c r="C858" t="s">
        <v>49</v>
      </c>
      <c r="D858" s="1">
        <v>40000</v>
      </c>
      <c r="E858" t="str" cm="1">
        <f t="array" ref="E858">_xlfn.IFS(D858&lt;40000,"Low Income",D858&lt;=80000,"Moderate Income",D858&gt;80000,"High Income")</f>
        <v>Moderate Income</v>
      </c>
      <c r="F858">
        <v>0</v>
      </c>
      <c r="G858" t="s">
        <v>21</v>
      </c>
      <c r="H858" t="s">
        <v>16</v>
      </c>
      <c r="I858" t="s">
        <v>17</v>
      </c>
      <c r="J858">
        <v>1</v>
      </c>
      <c r="K858" t="s">
        <v>26</v>
      </c>
      <c r="L858" t="s">
        <v>35</v>
      </c>
      <c r="M858">
        <v>27</v>
      </c>
      <c r="N858" t="str">
        <f t="shared" si="13"/>
        <v>Young Adults</v>
      </c>
      <c r="O858" t="s">
        <v>20</v>
      </c>
    </row>
    <row r="859" spans="1:15">
      <c r="A859">
        <v>11745</v>
      </c>
      <c r="B859" t="s">
        <v>63</v>
      </c>
      <c r="C859" t="s">
        <v>47</v>
      </c>
      <c r="D859" s="1">
        <v>60000</v>
      </c>
      <c r="E859" t="str" cm="1">
        <f t="array" ref="E859">_xlfn.IFS(D859&lt;40000,"Low Income",D859&lt;=80000,"Moderate Income",D859&gt;80000,"High Income")</f>
        <v>Moderate Income</v>
      </c>
      <c r="F859">
        <v>1</v>
      </c>
      <c r="G859" t="s">
        <v>15</v>
      </c>
      <c r="H859" t="s">
        <v>23</v>
      </c>
      <c r="I859" t="s">
        <v>17</v>
      </c>
      <c r="J859">
        <v>1</v>
      </c>
      <c r="K859" t="s">
        <v>18</v>
      </c>
      <c r="L859" t="s">
        <v>35</v>
      </c>
      <c r="M859">
        <v>47</v>
      </c>
      <c r="N859" t="str">
        <f t="shared" si="13"/>
        <v>Middle-Aged</v>
      </c>
      <c r="O859" t="s">
        <v>17</v>
      </c>
    </row>
    <row r="860" spans="1:15">
      <c r="A860">
        <v>19147</v>
      </c>
      <c r="B860" t="s">
        <v>63</v>
      </c>
      <c r="C860" t="s">
        <v>49</v>
      </c>
      <c r="D860" s="1">
        <v>40000</v>
      </c>
      <c r="E860" t="str" cm="1">
        <f t="array" ref="E860">_xlfn.IFS(D860&lt;40000,"Low Income",D860&lt;=80000,"Moderate Income",D860&gt;80000,"High Income")</f>
        <v>Moderate Income</v>
      </c>
      <c r="F860">
        <v>0</v>
      </c>
      <c r="G860" t="s">
        <v>15</v>
      </c>
      <c r="H860" t="s">
        <v>23</v>
      </c>
      <c r="I860" t="s">
        <v>20</v>
      </c>
      <c r="J860">
        <v>1</v>
      </c>
      <c r="K860" t="s">
        <v>18</v>
      </c>
      <c r="L860" t="s">
        <v>35</v>
      </c>
      <c r="M860">
        <v>42</v>
      </c>
      <c r="N860" t="str">
        <f t="shared" si="13"/>
        <v>Middle-Aged</v>
      </c>
      <c r="O860" t="s">
        <v>20</v>
      </c>
    </row>
    <row r="861" spans="1:15">
      <c r="A861">
        <v>19217</v>
      </c>
      <c r="B861" t="s">
        <v>63</v>
      </c>
      <c r="C861" t="s">
        <v>49</v>
      </c>
      <c r="D861" s="1">
        <v>30000</v>
      </c>
      <c r="E861" t="str" cm="1">
        <f t="array" ref="E861">_xlfn.IFS(D861&lt;40000,"Low Income",D861&lt;=80000,"Moderate Income",D861&gt;80000,"High Income")</f>
        <v>Low Income</v>
      </c>
      <c r="F861">
        <v>2</v>
      </c>
      <c r="G861" t="s">
        <v>30</v>
      </c>
      <c r="H861" t="s">
        <v>16</v>
      </c>
      <c r="I861" t="s">
        <v>17</v>
      </c>
      <c r="J861">
        <v>2</v>
      </c>
      <c r="K861" t="s">
        <v>29</v>
      </c>
      <c r="L861" t="s">
        <v>35</v>
      </c>
      <c r="M861">
        <v>49</v>
      </c>
      <c r="N861" t="str">
        <f t="shared" si="13"/>
        <v>Middle-Aged</v>
      </c>
      <c r="O861" t="s">
        <v>20</v>
      </c>
    </row>
    <row r="862" spans="1:15">
      <c r="A862">
        <v>15839</v>
      </c>
      <c r="B862" t="s">
        <v>64</v>
      </c>
      <c r="C862" t="s">
        <v>49</v>
      </c>
      <c r="D862" s="1">
        <v>30000</v>
      </c>
      <c r="E862" t="str" cm="1">
        <f t="array" ref="E862">_xlfn.IFS(D862&lt;40000,"Low Income",D862&lt;=80000,"Moderate Income",D862&gt;80000,"High Income")</f>
        <v>Low Income</v>
      </c>
      <c r="F862">
        <v>0</v>
      </c>
      <c r="G862" t="s">
        <v>21</v>
      </c>
      <c r="H862" t="s">
        <v>16</v>
      </c>
      <c r="I862" t="s">
        <v>17</v>
      </c>
      <c r="J862">
        <v>1</v>
      </c>
      <c r="K862" t="s">
        <v>26</v>
      </c>
      <c r="L862" t="s">
        <v>35</v>
      </c>
      <c r="M862">
        <v>32</v>
      </c>
      <c r="N862" t="str">
        <f t="shared" si="13"/>
        <v>Middle-Aged</v>
      </c>
      <c r="O862" t="s">
        <v>20</v>
      </c>
    </row>
    <row r="863" spans="1:15">
      <c r="A863">
        <v>13714</v>
      </c>
      <c r="B863" t="s">
        <v>63</v>
      </c>
      <c r="C863" t="s">
        <v>47</v>
      </c>
      <c r="D863" s="1">
        <v>20000</v>
      </c>
      <c r="E863" t="str" cm="1">
        <f t="array" ref="E863">_xlfn.IFS(D863&lt;40000,"Low Income",D863&lt;=80000,"Moderate Income",D863&gt;80000,"High Income")</f>
        <v>Low Income</v>
      </c>
      <c r="F863">
        <v>2</v>
      </c>
      <c r="G863" t="s">
        <v>30</v>
      </c>
      <c r="H863" t="s">
        <v>28</v>
      </c>
      <c r="I863" t="s">
        <v>20</v>
      </c>
      <c r="J863">
        <v>2</v>
      </c>
      <c r="K863" t="s">
        <v>29</v>
      </c>
      <c r="L863" t="s">
        <v>35</v>
      </c>
      <c r="M863">
        <v>53</v>
      </c>
      <c r="N863" t="str">
        <f t="shared" si="13"/>
        <v>Middle-Aged</v>
      </c>
      <c r="O863" t="s">
        <v>17</v>
      </c>
    </row>
    <row r="864" spans="1:15">
      <c r="A864">
        <v>22330</v>
      </c>
      <c r="B864" t="s">
        <v>63</v>
      </c>
      <c r="C864" t="s">
        <v>49</v>
      </c>
      <c r="D864" s="1">
        <v>50000</v>
      </c>
      <c r="E864" t="str" cm="1">
        <f t="array" ref="E864">_xlfn.IFS(D864&lt;40000,"Low Income",D864&lt;=80000,"Moderate Income",D864&gt;80000,"High Income")</f>
        <v>Moderate Income</v>
      </c>
      <c r="F864">
        <v>0</v>
      </c>
      <c r="G864" t="s">
        <v>34</v>
      </c>
      <c r="H864" t="s">
        <v>16</v>
      </c>
      <c r="I864" t="s">
        <v>17</v>
      </c>
      <c r="J864">
        <v>0</v>
      </c>
      <c r="K864" t="s">
        <v>29</v>
      </c>
      <c r="L864" t="s">
        <v>35</v>
      </c>
      <c r="M864">
        <v>32</v>
      </c>
      <c r="N864" t="str">
        <f t="shared" si="13"/>
        <v>Middle-Aged</v>
      </c>
      <c r="O864" t="s">
        <v>17</v>
      </c>
    </row>
    <row r="865" spans="1:15">
      <c r="A865">
        <v>18783</v>
      </c>
      <c r="B865" t="s">
        <v>64</v>
      </c>
      <c r="C865" t="s">
        <v>49</v>
      </c>
      <c r="D865" s="1">
        <v>80000</v>
      </c>
      <c r="E865" t="str" cm="1">
        <f t="array" ref="E865">_xlfn.IFS(D865&lt;40000,"Low Income",D865&lt;=80000,"Moderate Income",D865&gt;80000,"High Income")</f>
        <v>Moderate Income</v>
      </c>
      <c r="F865">
        <v>0</v>
      </c>
      <c r="G865" t="s">
        <v>15</v>
      </c>
      <c r="H865" t="s">
        <v>31</v>
      </c>
      <c r="I865" t="s">
        <v>20</v>
      </c>
      <c r="J865">
        <v>1</v>
      </c>
      <c r="K865" t="s">
        <v>18</v>
      </c>
      <c r="L865" t="s">
        <v>35</v>
      </c>
      <c r="M865">
        <v>38</v>
      </c>
      <c r="N865" t="str">
        <f t="shared" si="13"/>
        <v>Middle-Aged</v>
      </c>
      <c r="O865" t="s">
        <v>17</v>
      </c>
    </row>
    <row r="866" spans="1:15">
      <c r="A866">
        <v>25041</v>
      </c>
      <c r="B866" t="s">
        <v>64</v>
      </c>
      <c r="C866" t="s">
        <v>49</v>
      </c>
      <c r="D866" s="1">
        <v>40000</v>
      </c>
      <c r="E866" t="str" cm="1">
        <f t="array" ref="E866">_xlfn.IFS(D866&lt;40000,"Low Income",D866&lt;=80000,"Moderate Income",D866&gt;80000,"High Income")</f>
        <v>Moderate Income</v>
      </c>
      <c r="F866">
        <v>0</v>
      </c>
      <c r="G866" t="s">
        <v>30</v>
      </c>
      <c r="H866" t="s">
        <v>16</v>
      </c>
      <c r="I866" t="s">
        <v>17</v>
      </c>
      <c r="J866">
        <v>2</v>
      </c>
      <c r="K866" t="s">
        <v>26</v>
      </c>
      <c r="L866" t="s">
        <v>35</v>
      </c>
      <c r="M866">
        <v>31</v>
      </c>
      <c r="N866" t="str">
        <f t="shared" si="13"/>
        <v>Middle-Aged</v>
      </c>
      <c r="O866" t="s">
        <v>20</v>
      </c>
    </row>
    <row r="867" spans="1:15">
      <c r="A867">
        <v>22046</v>
      </c>
      <c r="B867" t="s">
        <v>64</v>
      </c>
      <c r="C867" t="s">
        <v>47</v>
      </c>
      <c r="D867" s="1">
        <v>80000</v>
      </c>
      <c r="E867" t="str" cm="1">
        <f t="array" ref="E867">_xlfn.IFS(D867&lt;40000,"Low Income",D867&lt;=80000,"Moderate Income",D867&gt;80000,"High Income")</f>
        <v>Moderate Income</v>
      </c>
      <c r="F867">
        <v>0</v>
      </c>
      <c r="G867" t="s">
        <v>15</v>
      </c>
      <c r="H867" t="s">
        <v>31</v>
      </c>
      <c r="I867" t="s">
        <v>20</v>
      </c>
      <c r="J867">
        <v>1</v>
      </c>
      <c r="K867" t="s">
        <v>18</v>
      </c>
      <c r="L867" t="s">
        <v>35</v>
      </c>
      <c r="M867">
        <v>38</v>
      </c>
      <c r="N867" t="str">
        <f t="shared" si="13"/>
        <v>Middle-Aged</v>
      </c>
      <c r="O867" t="s">
        <v>17</v>
      </c>
    </row>
    <row r="868" spans="1:15">
      <c r="A868">
        <v>28052</v>
      </c>
      <c r="B868" t="s">
        <v>63</v>
      </c>
      <c r="C868" t="s">
        <v>49</v>
      </c>
      <c r="D868" s="1">
        <v>60000</v>
      </c>
      <c r="E868" t="str" cm="1">
        <f t="array" ref="E868">_xlfn.IFS(D868&lt;40000,"Low Income",D868&lt;=80000,"Moderate Income",D868&gt;80000,"High Income")</f>
        <v>Moderate Income</v>
      </c>
      <c r="F868">
        <v>2</v>
      </c>
      <c r="G868" t="s">
        <v>30</v>
      </c>
      <c r="H868" t="s">
        <v>23</v>
      </c>
      <c r="I868" t="s">
        <v>17</v>
      </c>
      <c r="J868">
        <v>2</v>
      </c>
      <c r="K868" t="s">
        <v>61</v>
      </c>
      <c r="L868" t="s">
        <v>35</v>
      </c>
      <c r="M868">
        <v>55</v>
      </c>
      <c r="N868" t="str">
        <f t="shared" si="13"/>
        <v>Middle-Aged</v>
      </c>
      <c r="O868" t="s">
        <v>20</v>
      </c>
    </row>
    <row r="869" spans="1:15">
      <c r="A869">
        <v>26693</v>
      </c>
      <c r="B869" t="s">
        <v>63</v>
      </c>
      <c r="C869" t="s">
        <v>49</v>
      </c>
      <c r="D869" s="1">
        <v>70000</v>
      </c>
      <c r="E869" t="str" cm="1">
        <f t="array" ref="E869">_xlfn.IFS(D869&lt;40000,"Low Income",D869&lt;=80000,"Moderate Income",D869&gt;80000,"High Income")</f>
        <v>Moderate Income</v>
      </c>
      <c r="F869">
        <v>3</v>
      </c>
      <c r="G869" t="s">
        <v>21</v>
      </c>
      <c r="H869" t="s">
        <v>23</v>
      </c>
      <c r="I869" t="s">
        <v>17</v>
      </c>
      <c r="J869">
        <v>1</v>
      </c>
      <c r="K869" t="s">
        <v>26</v>
      </c>
      <c r="L869" t="s">
        <v>35</v>
      </c>
      <c r="M869">
        <v>49</v>
      </c>
      <c r="N869" t="str">
        <f t="shared" si="13"/>
        <v>Middle-Aged</v>
      </c>
      <c r="O869" t="s">
        <v>20</v>
      </c>
    </row>
    <row r="870" spans="1:15">
      <c r="A870">
        <v>24955</v>
      </c>
      <c r="B870" t="s">
        <v>64</v>
      </c>
      <c r="C870" t="s">
        <v>49</v>
      </c>
      <c r="D870" s="1">
        <v>30000</v>
      </c>
      <c r="E870" t="str" cm="1">
        <f t="array" ref="E870">_xlfn.IFS(D870&lt;40000,"Low Income",D870&lt;=80000,"Moderate Income",D870&gt;80000,"High Income")</f>
        <v>Low Income</v>
      </c>
      <c r="F870">
        <v>5</v>
      </c>
      <c r="G870" t="s">
        <v>32</v>
      </c>
      <c r="H870" t="s">
        <v>16</v>
      </c>
      <c r="I870" t="s">
        <v>17</v>
      </c>
      <c r="J870">
        <v>3</v>
      </c>
      <c r="K870" t="s">
        <v>61</v>
      </c>
      <c r="L870" t="s">
        <v>35</v>
      </c>
      <c r="M870">
        <v>60</v>
      </c>
      <c r="N870" t="str">
        <f t="shared" si="13"/>
        <v>Seniors</v>
      </c>
      <c r="O870" t="s">
        <v>17</v>
      </c>
    </row>
    <row r="871" spans="1:15">
      <c r="A871">
        <v>26065</v>
      </c>
      <c r="B871" t="s">
        <v>64</v>
      </c>
      <c r="C871" t="s">
        <v>47</v>
      </c>
      <c r="D871" s="1">
        <v>110000</v>
      </c>
      <c r="E871" t="str" cm="1">
        <f t="array" ref="E871">_xlfn.IFS(D871&lt;40000,"Low Income",D871&lt;=80000,"Moderate Income",D871&gt;80000,"High Income")</f>
        <v>High Income</v>
      </c>
      <c r="F871">
        <v>3</v>
      </c>
      <c r="G871" t="s">
        <v>15</v>
      </c>
      <c r="H871" t="s">
        <v>31</v>
      </c>
      <c r="I871" t="s">
        <v>20</v>
      </c>
      <c r="J871">
        <v>4</v>
      </c>
      <c r="K871" t="s">
        <v>29</v>
      </c>
      <c r="L871" t="s">
        <v>35</v>
      </c>
      <c r="M871">
        <v>42</v>
      </c>
      <c r="N871" t="str">
        <f t="shared" si="13"/>
        <v>Middle-Aged</v>
      </c>
      <c r="O871" t="s">
        <v>20</v>
      </c>
    </row>
    <row r="872" spans="1:15">
      <c r="A872">
        <v>13942</v>
      </c>
      <c r="B872" t="s">
        <v>63</v>
      </c>
      <c r="C872" t="s">
        <v>49</v>
      </c>
      <c r="D872" s="1">
        <v>60000</v>
      </c>
      <c r="E872" t="str" cm="1">
        <f t="array" ref="E872">_xlfn.IFS(D872&lt;40000,"Low Income",D872&lt;=80000,"Moderate Income",D872&gt;80000,"High Income")</f>
        <v>Moderate Income</v>
      </c>
      <c r="F872">
        <v>1</v>
      </c>
      <c r="G872" t="s">
        <v>21</v>
      </c>
      <c r="H872" t="s">
        <v>16</v>
      </c>
      <c r="I872" t="s">
        <v>17</v>
      </c>
      <c r="J872">
        <v>1</v>
      </c>
      <c r="K872" t="s">
        <v>18</v>
      </c>
      <c r="L872" t="s">
        <v>35</v>
      </c>
      <c r="M872">
        <v>46</v>
      </c>
      <c r="N872" t="str">
        <f t="shared" si="13"/>
        <v>Middle-Aged</v>
      </c>
      <c r="O872" t="s">
        <v>20</v>
      </c>
    </row>
    <row r="873" spans="1:15">
      <c r="A873">
        <v>11219</v>
      </c>
      <c r="B873" t="s">
        <v>63</v>
      </c>
      <c r="C873" t="s">
        <v>49</v>
      </c>
      <c r="D873" s="1">
        <v>60000</v>
      </c>
      <c r="E873" t="str" cm="1">
        <f t="array" ref="E873">_xlfn.IFS(D873&lt;40000,"Low Income",D873&lt;=80000,"Moderate Income",D873&gt;80000,"High Income")</f>
        <v>Moderate Income</v>
      </c>
      <c r="F873">
        <v>2</v>
      </c>
      <c r="G873" t="s">
        <v>30</v>
      </c>
      <c r="H873" t="s">
        <v>23</v>
      </c>
      <c r="I873" t="s">
        <v>17</v>
      </c>
      <c r="J873">
        <v>2</v>
      </c>
      <c r="K873" t="s">
        <v>61</v>
      </c>
      <c r="L873" t="s">
        <v>35</v>
      </c>
      <c r="M873">
        <v>55</v>
      </c>
      <c r="N873" t="str">
        <f t="shared" si="13"/>
        <v>Middle-Aged</v>
      </c>
      <c r="O873" t="s">
        <v>20</v>
      </c>
    </row>
    <row r="874" spans="1:15">
      <c r="A874">
        <v>22118</v>
      </c>
      <c r="B874" t="s">
        <v>64</v>
      </c>
      <c r="C874" t="s">
        <v>47</v>
      </c>
      <c r="D874" s="1">
        <v>70000</v>
      </c>
      <c r="E874" t="str" cm="1">
        <f t="array" ref="E874">_xlfn.IFS(D874&lt;40000,"Low Income",D874&lt;=80000,"Moderate Income",D874&gt;80000,"High Income")</f>
        <v>Moderate Income</v>
      </c>
      <c r="F874">
        <v>3</v>
      </c>
      <c r="G874" t="s">
        <v>34</v>
      </c>
      <c r="H874" t="s">
        <v>31</v>
      </c>
      <c r="I874" t="s">
        <v>17</v>
      </c>
      <c r="J874">
        <v>2</v>
      </c>
      <c r="K874" t="s">
        <v>26</v>
      </c>
      <c r="L874" t="s">
        <v>35</v>
      </c>
      <c r="M874">
        <v>53</v>
      </c>
      <c r="N874" t="str">
        <f t="shared" si="13"/>
        <v>Middle-Aged</v>
      </c>
      <c r="O874" t="s">
        <v>17</v>
      </c>
    </row>
    <row r="875" spans="1:15">
      <c r="A875">
        <v>23197</v>
      </c>
      <c r="B875" t="s">
        <v>63</v>
      </c>
      <c r="C875" t="s">
        <v>49</v>
      </c>
      <c r="D875" s="1">
        <v>50000</v>
      </c>
      <c r="E875" t="str" cm="1">
        <f t="array" ref="E875">_xlfn.IFS(D875&lt;40000,"Low Income",D875&lt;=80000,"Moderate Income",D875&gt;80000,"High Income")</f>
        <v>Moderate Income</v>
      </c>
      <c r="F875">
        <v>3</v>
      </c>
      <c r="G875" t="s">
        <v>15</v>
      </c>
      <c r="H875" t="s">
        <v>16</v>
      </c>
      <c r="I875" t="s">
        <v>17</v>
      </c>
      <c r="J875">
        <v>2</v>
      </c>
      <c r="K875" t="s">
        <v>24</v>
      </c>
      <c r="L875" t="s">
        <v>35</v>
      </c>
      <c r="M875">
        <v>40</v>
      </c>
      <c r="N875" t="str">
        <f t="shared" si="13"/>
        <v>Middle-Aged</v>
      </c>
      <c r="O875" t="s">
        <v>20</v>
      </c>
    </row>
    <row r="876" spans="1:15">
      <c r="A876">
        <v>14883</v>
      </c>
      <c r="B876" t="s">
        <v>63</v>
      </c>
      <c r="C876" t="s">
        <v>47</v>
      </c>
      <c r="D876" s="1">
        <v>30000</v>
      </c>
      <c r="E876" t="str" cm="1">
        <f t="array" ref="E876">_xlfn.IFS(D876&lt;40000,"Low Income",D876&lt;=80000,"Moderate Income",D876&gt;80000,"High Income")</f>
        <v>Low Income</v>
      </c>
      <c r="F876">
        <v>1</v>
      </c>
      <c r="G876" t="s">
        <v>15</v>
      </c>
      <c r="H876" t="s">
        <v>16</v>
      </c>
      <c r="I876" t="s">
        <v>17</v>
      </c>
      <c r="J876">
        <v>1</v>
      </c>
      <c r="K876" t="s">
        <v>26</v>
      </c>
      <c r="L876" t="s">
        <v>35</v>
      </c>
      <c r="M876">
        <v>53</v>
      </c>
      <c r="N876" t="str">
        <f t="shared" si="13"/>
        <v>Middle-Aged</v>
      </c>
      <c r="O876" t="s">
        <v>17</v>
      </c>
    </row>
    <row r="877" spans="1:15">
      <c r="A877">
        <v>27279</v>
      </c>
      <c r="B877" t="s">
        <v>64</v>
      </c>
      <c r="C877" t="s">
        <v>47</v>
      </c>
      <c r="D877" s="1">
        <v>70000</v>
      </c>
      <c r="E877" t="str" cm="1">
        <f t="array" ref="E877">_xlfn.IFS(D877&lt;40000,"Low Income",D877&lt;=80000,"Moderate Income",D877&gt;80000,"High Income")</f>
        <v>Moderate Income</v>
      </c>
      <c r="F877">
        <v>2</v>
      </c>
      <c r="G877" t="s">
        <v>15</v>
      </c>
      <c r="H877" t="s">
        <v>16</v>
      </c>
      <c r="I877" t="s">
        <v>17</v>
      </c>
      <c r="J877">
        <v>0</v>
      </c>
      <c r="K877" t="s">
        <v>24</v>
      </c>
      <c r="L877" t="s">
        <v>35</v>
      </c>
      <c r="M877">
        <v>38</v>
      </c>
      <c r="N877" t="str">
        <f t="shared" si="13"/>
        <v>Middle-Aged</v>
      </c>
      <c r="O877" t="s">
        <v>17</v>
      </c>
    </row>
    <row r="878" spans="1:15">
      <c r="A878">
        <v>18322</v>
      </c>
      <c r="B878" t="s">
        <v>64</v>
      </c>
      <c r="C878" t="s">
        <v>49</v>
      </c>
      <c r="D878" s="1">
        <v>30000</v>
      </c>
      <c r="E878" t="str" cm="1">
        <f t="array" ref="E878">_xlfn.IFS(D878&lt;40000,"Low Income",D878&lt;=80000,"Moderate Income",D878&gt;80000,"High Income")</f>
        <v>Low Income</v>
      </c>
      <c r="F878">
        <v>0</v>
      </c>
      <c r="G878" t="s">
        <v>32</v>
      </c>
      <c r="H878" t="s">
        <v>22</v>
      </c>
      <c r="I878" t="s">
        <v>20</v>
      </c>
      <c r="J878">
        <v>2</v>
      </c>
      <c r="K878" t="s">
        <v>18</v>
      </c>
      <c r="L878" t="s">
        <v>35</v>
      </c>
      <c r="M878">
        <v>26</v>
      </c>
      <c r="N878" t="str">
        <f t="shared" si="13"/>
        <v>Young Adults</v>
      </c>
      <c r="O878" t="s">
        <v>20</v>
      </c>
    </row>
    <row r="879" spans="1:15">
      <c r="A879">
        <v>15879</v>
      </c>
      <c r="B879" t="s">
        <v>63</v>
      </c>
      <c r="C879" t="s">
        <v>49</v>
      </c>
      <c r="D879" s="1">
        <v>70000</v>
      </c>
      <c r="E879" t="str" cm="1">
        <f t="array" ref="E879">_xlfn.IFS(D879&lt;40000,"Low Income",D879&lt;=80000,"Moderate Income",D879&gt;80000,"High Income")</f>
        <v>Moderate Income</v>
      </c>
      <c r="F879">
        <v>5</v>
      </c>
      <c r="G879" t="s">
        <v>15</v>
      </c>
      <c r="H879" t="s">
        <v>31</v>
      </c>
      <c r="I879" t="s">
        <v>17</v>
      </c>
      <c r="J879">
        <v>2</v>
      </c>
      <c r="K879" t="s">
        <v>24</v>
      </c>
      <c r="L879" t="s">
        <v>35</v>
      </c>
      <c r="M879">
        <v>61</v>
      </c>
      <c r="N879" t="str">
        <f t="shared" si="13"/>
        <v>Seniors</v>
      </c>
      <c r="O879" t="s">
        <v>20</v>
      </c>
    </row>
    <row r="880" spans="1:15">
      <c r="A880">
        <v>28278</v>
      </c>
      <c r="B880" t="s">
        <v>63</v>
      </c>
      <c r="C880" t="s">
        <v>49</v>
      </c>
      <c r="D880" s="1">
        <v>50000</v>
      </c>
      <c r="E880" t="str" cm="1">
        <f t="array" ref="E880">_xlfn.IFS(D880&lt;40000,"Low Income",D880&lt;=80000,"Moderate Income",D880&gt;80000,"High Income")</f>
        <v>Moderate Income</v>
      </c>
      <c r="F880">
        <v>2</v>
      </c>
      <c r="G880" t="s">
        <v>34</v>
      </c>
      <c r="H880" t="s">
        <v>31</v>
      </c>
      <c r="I880" t="s">
        <v>17</v>
      </c>
      <c r="J880">
        <v>2</v>
      </c>
      <c r="K880" t="s">
        <v>26</v>
      </c>
      <c r="L880" t="s">
        <v>35</v>
      </c>
      <c r="M880">
        <v>71</v>
      </c>
      <c r="N880" t="str">
        <f t="shared" si="13"/>
        <v>Seniors</v>
      </c>
      <c r="O880" t="s">
        <v>20</v>
      </c>
    </row>
    <row r="881" spans="1:15">
      <c r="A881">
        <v>24416</v>
      </c>
      <c r="B881" t="s">
        <v>63</v>
      </c>
      <c r="C881" t="s">
        <v>49</v>
      </c>
      <c r="D881" s="1">
        <v>90000</v>
      </c>
      <c r="E881" t="str" cm="1">
        <f t="array" ref="E881">_xlfn.IFS(D881&lt;40000,"Low Income",D881&lt;=80000,"Moderate Income",D881&gt;80000,"High Income")</f>
        <v>High Income</v>
      </c>
      <c r="F881">
        <v>4</v>
      </c>
      <c r="G881" t="s">
        <v>30</v>
      </c>
      <c r="H881" t="s">
        <v>23</v>
      </c>
      <c r="I881" t="s">
        <v>17</v>
      </c>
      <c r="J881">
        <v>2</v>
      </c>
      <c r="K881" t="s">
        <v>29</v>
      </c>
      <c r="L881" t="s">
        <v>35</v>
      </c>
      <c r="M881">
        <v>45</v>
      </c>
      <c r="N881" t="str">
        <f t="shared" si="13"/>
        <v>Middle-Aged</v>
      </c>
      <c r="O881" t="s">
        <v>20</v>
      </c>
    </row>
    <row r="882" spans="1:15">
      <c r="A882">
        <v>28066</v>
      </c>
      <c r="B882" t="s">
        <v>63</v>
      </c>
      <c r="C882" t="s">
        <v>49</v>
      </c>
      <c r="D882" s="1">
        <v>80000</v>
      </c>
      <c r="E882" t="str" cm="1">
        <f t="array" ref="E882">_xlfn.IFS(D882&lt;40000,"Low Income",D882&lt;=80000,"Moderate Income",D882&gt;80000,"High Income")</f>
        <v>Moderate Income</v>
      </c>
      <c r="F882">
        <v>2</v>
      </c>
      <c r="G882" t="s">
        <v>34</v>
      </c>
      <c r="H882" t="s">
        <v>23</v>
      </c>
      <c r="I882" t="s">
        <v>17</v>
      </c>
      <c r="J882">
        <v>0</v>
      </c>
      <c r="K882" t="s">
        <v>18</v>
      </c>
      <c r="L882" t="s">
        <v>35</v>
      </c>
      <c r="M882">
        <v>37</v>
      </c>
      <c r="N882" t="str">
        <f t="shared" si="13"/>
        <v>Middle-Aged</v>
      </c>
      <c r="O882" t="s">
        <v>17</v>
      </c>
    </row>
    <row r="883" spans="1:15">
      <c r="A883">
        <v>11275</v>
      </c>
      <c r="B883" t="s">
        <v>63</v>
      </c>
      <c r="C883" t="s">
        <v>47</v>
      </c>
      <c r="D883" s="1">
        <v>80000</v>
      </c>
      <c r="E883" t="str" cm="1">
        <f t="array" ref="E883">_xlfn.IFS(D883&lt;40000,"Low Income",D883&lt;=80000,"Moderate Income",D883&gt;80000,"High Income")</f>
        <v>Moderate Income</v>
      </c>
      <c r="F883">
        <v>4</v>
      </c>
      <c r="G883" t="s">
        <v>34</v>
      </c>
      <c r="H883" t="s">
        <v>31</v>
      </c>
      <c r="I883" t="s">
        <v>17</v>
      </c>
      <c r="J883">
        <v>2</v>
      </c>
      <c r="K883" t="s">
        <v>18</v>
      </c>
      <c r="L883" t="s">
        <v>35</v>
      </c>
      <c r="M883">
        <v>72</v>
      </c>
      <c r="N883" t="str">
        <f t="shared" si="13"/>
        <v>Seniors</v>
      </c>
      <c r="O883" t="s">
        <v>17</v>
      </c>
    </row>
    <row r="884" spans="1:15">
      <c r="A884">
        <v>14872</v>
      </c>
      <c r="B884" t="s">
        <v>63</v>
      </c>
      <c r="C884" t="s">
        <v>49</v>
      </c>
      <c r="D884" s="1">
        <v>30000</v>
      </c>
      <c r="E884" t="str" cm="1">
        <f t="array" ref="E884">_xlfn.IFS(D884&lt;40000,"Low Income",D884&lt;=80000,"Moderate Income",D884&gt;80000,"High Income")</f>
        <v>Low Income</v>
      </c>
      <c r="F884">
        <v>0</v>
      </c>
      <c r="G884" t="s">
        <v>34</v>
      </c>
      <c r="H884" t="s">
        <v>16</v>
      </c>
      <c r="I884" t="s">
        <v>17</v>
      </c>
      <c r="J884">
        <v>0</v>
      </c>
      <c r="K884" t="s">
        <v>18</v>
      </c>
      <c r="L884" t="s">
        <v>35</v>
      </c>
      <c r="M884">
        <v>32</v>
      </c>
      <c r="N884" t="str">
        <f t="shared" si="13"/>
        <v>Middle-Aged</v>
      </c>
      <c r="O884" t="s">
        <v>20</v>
      </c>
    </row>
    <row r="885" spans="1:15">
      <c r="A885">
        <v>16151</v>
      </c>
      <c r="B885" t="s">
        <v>63</v>
      </c>
      <c r="C885" t="s">
        <v>47</v>
      </c>
      <c r="D885" s="1">
        <v>60000</v>
      </c>
      <c r="E885" t="str" cm="1">
        <f t="array" ref="E885">_xlfn.IFS(D885&lt;40000,"Low Income",D885&lt;=80000,"Moderate Income",D885&gt;80000,"High Income")</f>
        <v>Moderate Income</v>
      </c>
      <c r="F885">
        <v>1</v>
      </c>
      <c r="G885" t="s">
        <v>15</v>
      </c>
      <c r="H885" t="s">
        <v>23</v>
      </c>
      <c r="I885" t="s">
        <v>17</v>
      </c>
      <c r="J885">
        <v>1</v>
      </c>
      <c r="K885" t="s">
        <v>24</v>
      </c>
      <c r="L885" t="s">
        <v>35</v>
      </c>
      <c r="M885">
        <v>48</v>
      </c>
      <c r="N885" t="str">
        <f t="shared" si="13"/>
        <v>Middle-Aged</v>
      </c>
      <c r="O885" t="s">
        <v>17</v>
      </c>
    </row>
    <row r="886" spans="1:15">
      <c r="A886">
        <v>19731</v>
      </c>
      <c r="B886" t="s">
        <v>63</v>
      </c>
      <c r="C886" t="s">
        <v>49</v>
      </c>
      <c r="D886" s="1">
        <v>80000</v>
      </c>
      <c r="E886" t="str" cm="1">
        <f t="array" ref="E886">_xlfn.IFS(D886&lt;40000,"Low Income",D886&lt;=80000,"Moderate Income",D886&gt;80000,"High Income")</f>
        <v>Moderate Income</v>
      </c>
      <c r="F886">
        <v>4</v>
      </c>
      <c r="G886" t="s">
        <v>34</v>
      </c>
      <c r="H886" t="s">
        <v>31</v>
      </c>
      <c r="I886" t="s">
        <v>17</v>
      </c>
      <c r="J886">
        <v>2</v>
      </c>
      <c r="K886" t="s">
        <v>26</v>
      </c>
      <c r="L886" t="s">
        <v>35</v>
      </c>
      <c r="M886">
        <v>68</v>
      </c>
      <c r="N886" t="str">
        <f t="shared" si="13"/>
        <v>Seniors</v>
      </c>
      <c r="O886" t="s">
        <v>20</v>
      </c>
    </row>
    <row r="887" spans="1:15">
      <c r="A887">
        <v>23801</v>
      </c>
      <c r="B887" t="s">
        <v>63</v>
      </c>
      <c r="C887" t="s">
        <v>47</v>
      </c>
      <c r="D887" s="1">
        <v>20000</v>
      </c>
      <c r="E887" t="str" cm="1">
        <f t="array" ref="E887">_xlfn.IFS(D887&lt;40000,"Low Income",D887&lt;=80000,"Moderate Income",D887&gt;80000,"High Income")</f>
        <v>Low Income</v>
      </c>
      <c r="F887">
        <v>2</v>
      </c>
      <c r="G887" t="s">
        <v>32</v>
      </c>
      <c r="H887" t="s">
        <v>22</v>
      </c>
      <c r="I887" t="s">
        <v>17</v>
      </c>
      <c r="J887">
        <v>2</v>
      </c>
      <c r="K887" t="s">
        <v>18</v>
      </c>
      <c r="L887" t="s">
        <v>35</v>
      </c>
      <c r="M887">
        <v>49</v>
      </c>
      <c r="N887" t="str">
        <f t="shared" si="13"/>
        <v>Middle-Aged</v>
      </c>
      <c r="O887" t="s">
        <v>20</v>
      </c>
    </row>
    <row r="888" spans="1:15">
      <c r="A888">
        <v>11807</v>
      </c>
      <c r="B888" t="s">
        <v>63</v>
      </c>
      <c r="C888" t="s">
        <v>49</v>
      </c>
      <c r="D888" s="1">
        <v>70000</v>
      </c>
      <c r="E888" t="str" cm="1">
        <f t="array" ref="E888">_xlfn.IFS(D888&lt;40000,"Low Income",D888&lt;=80000,"Moderate Income",D888&gt;80000,"High Income")</f>
        <v>Moderate Income</v>
      </c>
      <c r="F888">
        <v>3</v>
      </c>
      <c r="G888" t="s">
        <v>34</v>
      </c>
      <c r="H888" t="s">
        <v>23</v>
      </c>
      <c r="I888" t="s">
        <v>17</v>
      </c>
      <c r="J888">
        <v>0</v>
      </c>
      <c r="K888" t="s">
        <v>24</v>
      </c>
      <c r="L888" t="s">
        <v>35</v>
      </c>
      <c r="M888">
        <v>34</v>
      </c>
      <c r="N888" t="str">
        <f t="shared" si="13"/>
        <v>Middle-Aged</v>
      </c>
      <c r="O888" t="s">
        <v>20</v>
      </c>
    </row>
    <row r="889" spans="1:15">
      <c r="A889">
        <v>11622</v>
      </c>
      <c r="B889" t="s">
        <v>63</v>
      </c>
      <c r="C889" t="s">
        <v>49</v>
      </c>
      <c r="D889" s="1">
        <v>50000</v>
      </c>
      <c r="E889" t="str" cm="1">
        <f t="array" ref="E889">_xlfn.IFS(D889&lt;40000,"Low Income",D889&lt;=80000,"Moderate Income",D889&gt;80000,"High Income")</f>
        <v>Moderate Income</v>
      </c>
      <c r="F889">
        <v>0</v>
      </c>
      <c r="G889" t="s">
        <v>34</v>
      </c>
      <c r="H889" t="s">
        <v>16</v>
      </c>
      <c r="I889" t="s">
        <v>17</v>
      </c>
      <c r="J889">
        <v>0</v>
      </c>
      <c r="K889" t="s">
        <v>18</v>
      </c>
      <c r="L889" t="s">
        <v>35</v>
      </c>
      <c r="M889">
        <v>32</v>
      </c>
      <c r="N889" t="str">
        <f t="shared" si="13"/>
        <v>Middle-Aged</v>
      </c>
      <c r="O889" t="s">
        <v>20</v>
      </c>
    </row>
    <row r="890" spans="1:15">
      <c r="A890">
        <v>26597</v>
      </c>
      <c r="B890" t="s">
        <v>64</v>
      </c>
      <c r="C890" t="s">
        <v>47</v>
      </c>
      <c r="D890" s="1">
        <v>60000</v>
      </c>
      <c r="E890" t="str" cm="1">
        <f t="array" ref="E890">_xlfn.IFS(D890&lt;40000,"Low Income",D890&lt;=80000,"Moderate Income",D890&gt;80000,"High Income")</f>
        <v>Moderate Income</v>
      </c>
      <c r="F890">
        <v>4</v>
      </c>
      <c r="G890" t="s">
        <v>15</v>
      </c>
      <c r="H890" t="s">
        <v>16</v>
      </c>
      <c r="I890" t="s">
        <v>20</v>
      </c>
      <c r="J890">
        <v>2</v>
      </c>
      <c r="K890" t="s">
        <v>18</v>
      </c>
      <c r="L890" t="s">
        <v>35</v>
      </c>
      <c r="M890">
        <v>42</v>
      </c>
      <c r="N890" t="str">
        <f t="shared" si="13"/>
        <v>Middle-Aged</v>
      </c>
      <c r="O890" t="s">
        <v>20</v>
      </c>
    </row>
    <row r="891" spans="1:15">
      <c r="A891">
        <v>27074</v>
      </c>
      <c r="B891" t="s">
        <v>63</v>
      </c>
      <c r="C891" t="s">
        <v>47</v>
      </c>
      <c r="D891" s="1">
        <v>70000</v>
      </c>
      <c r="E891" t="str" cm="1">
        <f t="array" ref="E891">_xlfn.IFS(D891&lt;40000,"Low Income",D891&lt;=80000,"Moderate Income",D891&gt;80000,"High Income")</f>
        <v>Moderate Income</v>
      </c>
      <c r="F891">
        <v>1</v>
      </c>
      <c r="G891" t="s">
        <v>34</v>
      </c>
      <c r="H891" t="s">
        <v>16</v>
      </c>
      <c r="I891" t="s">
        <v>17</v>
      </c>
      <c r="J891">
        <v>0</v>
      </c>
      <c r="K891" t="s">
        <v>18</v>
      </c>
      <c r="L891" t="s">
        <v>35</v>
      </c>
      <c r="M891">
        <v>35</v>
      </c>
      <c r="N891" t="str">
        <f t="shared" si="13"/>
        <v>Middle-Aged</v>
      </c>
      <c r="O891" t="s">
        <v>17</v>
      </c>
    </row>
    <row r="892" spans="1:15">
      <c r="A892">
        <v>19228</v>
      </c>
      <c r="B892" t="s">
        <v>63</v>
      </c>
      <c r="C892" t="s">
        <v>47</v>
      </c>
      <c r="D892" s="1">
        <v>40000</v>
      </c>
      <c r="E892" t="str" cm="1">
        <f t="array" ref="E892">_xlfn.IFS(D892&lt;40000,"Low Income",D892&lt;=80000,"Moderate Income",D892&gt;80000,"High Income")</f>
        <v>Moderate Income</v>
      </c>
      <c r="F892">
        <v>2</v>
      </c>
      <c r="G892" t="s">
        <v>21</v>
      </c>
      <c r="H892" t="s">
        <v>22</v>
      </c>
      <c r="I892" t="s">
        <v>17</v>
      </c>
      <c r="J892">
        <v>1</v>
      </c>
      <c r="K892" t="s">
        <v>18</v>
      </c>
      <c r="L892" t="s">
        <v>35</v>
      </c>
      <c r="M892">
        <v>48</v>
      </c>
      <c r="N892" t="str">
        <f t="shared" si="13"/>
        <v>Middle-Aged</v>
      </c>
      <c r="O892" t="s">
        <v>20</v>
      </c>
    </row>
    <row r="893" spans="1:15">
      <c r="A893">
        <v>13415</v>
      </c>
      <c r="B893" t="s">
        <v>64</v>
      </c>
      <c r="C893" t="s">
        <v>49</v>
      </c>
      <c r="D893" s="1">
        <v>100000</v>
      </c>
      <c r="E893" t="str" cm="1">
        <f t="array" ref="E893">_xlfn.IFS(D893&lt;40000,"Low Income",D893&lt;=80000,"Moderate Income",D893&gt;80000,"High Income")</f>
        <v>High Income</v>
      </c>
      <c r="F893">
        <v>1</v>
      </c>
      <c r="G893" t="s">
        <v>34</v>
      </c>
      <c r="H893" t="s">
        <v>31</v>
      </c>
      <c r="I893" t="s">
        <v>17</v>
      </c>
      <c r="J893">
        <v>3</v>
      </c>
      <c r="K893" t="s">
        <v>24</v>
      </c>
      <c r="L893" t="s">
        <v>35</v>
      </c>
      <c r="M893">
        <v>73</v>
      </c>
      <c r="N893" t="str">
        <f t="shared" si="13"/>
        <v>Seniors</v>
      </c>
      <c r="O893" t="s">
        <v>17</v>
      </c>
    </row>
    <row r="894" spans="1:15">
      <c r="A894">
        <v>17000</v>
      </c>
      <c r="B894" t="s">
        <v>64</v>
      </c>
      <c r="C894" t="s">
        <v>47</v>
      </c>
      <c r="D894" s="1">
        <v>70000</v>
      </c>
      <c r="E894" t="str" cm="1">
        <f t="array" ref="E894">_xlfn.IFS(D894&lt;40000,"Low Income",D894&lt;=80000,"Moderate Income",D894&gt;80000,"High Income")</f>
        <v>Moderate Income</v>
      </c>
      <c r="F894">
        <v>4</v>
      </c>
      <c r="G894" t="s">
        <v>15</v>
      </c>
      <c r="H894" t="s">
        <v>16</v>
      </c>
      <c r="I894" t="s">
        <v>17</v>
      </c>
      <c r="J894">
        <v>2</v>
      </c>
      <c r="K894" t="s">
        <v>24</v>
      </c>
      <c r="L894" t="s">
        <v>35</v>
      </c>
      <c r="M894">
        <v>43</v>
      </c>
      <c r="N894" t="str">
        <f t="shared" si="13"/>
        <v>Middle-Aged</v>
      </c>
      <c r="O894" t="s">
        <v>17</v>
      </c>
    </row>
    <row r="895" spans="1:15">
      <c r="A895">
        <v>14569</v>
      </c>
      <c r="B895" t="s">
        <v>63</v>
      </c>
      <c r="C895" t="s">
        <v>49</v>
      </c>
      <c r="D895" s="1">
        <v>60000</v>
      </c>
      <c r="E895" t="str" cm="1">
        <f t="array" ref="E895">_xlfn.IFS(D895&lt;40000,"Low Income",D895&lt;=80000,"Moderate Income",D895&gt;80000,"High Income")</f>
        <v>Moderate Income</v>
      </c>
      <c r="F895">
        <v>1</v>
      </c>
      <c r="G895" t="s">
        <v>34</v>
      </c>
      <c r="H895" t="s">
        <v>23</v>
      </c>
      <c r="I895" t="s">
        <v>17</v>
      </c>
      <c r="J895">
        <v>0</v>
      </c>
      <c r="K895" t="s">
        <v>18</v>
      </c>
      <c r="L895" t="s">
        <v>35</v>
      </c>
      <c r="M895">
        <v>35</v>
      </c>
      <c r="N895" t="str">
        <f t="shared" si="13"/>
        <v>Middle-Aged</v>
      </c>
      <c r="O895" t="s">
        <v>20</v>
      </c>
    </row>
    <row r="896" spans="1:15">
      <c r="A896">
        <v>13873</v>
      </c>
      <c r="B896" t="s">
        <v>63</v>
      </c>
      <c r="C896" t="s">
        <v>49</v>
      </c>
      <c r="D896" s="1">
        <v>70000</v>
      </c>
      <c r="E896" t="str" cm="1">
        <f t="array" ref="E896">_xlfn.IFS(D896&lt;40000,"Low Income",D896&lt;=80000,"Moderate Income",D896&gt;80000,"High Income")</f>
        <v>Moderate Income</v>
      </c>
      <c r="F896">
        <v>3</v>
      </c>
      <c r="G896" t="s">
        <v>34</v>
      </c>
      <c r="H896" t="s">
        <v>23</v>
      </c>
      <c r="I896" t="s">
        <v>17</v>
      </c>
      <c r="J896">
        <v>0</v>
      </c>
      <c r="K896" t="s">
        <v>18</v>
      </c>
      <c r="L896" t="s">
        <v>35</v>
      </c>
      <c r="M896">
        <v>35</v>
      </c>
      <c r="N896" t="str">
        <f t="shared" si="13"/>
        <v>Middle-Aged</v>
      </c>
      <c r="O896" t="s">
        <v>17</v>
      </c>
    </row>
    <row r="897" spans="1:15">
      <c r="A897">
        <v>20401</v>
      </c>
      <c r="B897" t="s">
        <v>63</v>
      </c>
      <c r="C897" t="s">
        <v>47</v>
      </c>
      <c r="D897" s="1">
        <v>50000</v>
      </c>
      <c r="E897" t="str" cm="1">
        <f t="array" ref="E897">_xlfn.IFS(D897&lt;40000,"Low Income",D897&lt;=80000,"Moderate Income",D897&gt;80000,"High Income")</f>
        <v>Moderate Income</v>
      </c>
      <c r="F897">
        <v>4</v>
      </c>
      <c r="G897" t="s">
        <v>15</v>
      </c>
      <c r="H897" t="s">
        <v>31</v>
      </c>
      <c r="I897" t="s">
        <v>17</v>
      </c>
      <c r="J897">
        <v>2</v>
      </c>
      <c r="K897" t="s">
        <v>29</v>
      </c>
      <c r="L897" t="s">
        <v>35</v>
      </c>
      <c r="M897">
        <v>64</v>
      </c>
      <c r="N897" t="str">
        <f t="shared" si="13"/>
        <v>Seniors</v>
      </c>
      <c r="O897" t="s">
        <v>17</v>
      </c>
    </row>
    <row r="898" spans="1:15">
      <c r="A898">
        <v>21583</v>
      </c>
      <c r="B898" t="s">
        <v>63</v>
      </c>
      <c r="C898" t="s">
        <v>47</v>
      </c>
      <c r="D898" s="1">
        <v>50000</v>
      </c>
      <c r="E898" t="str" cm="1">
        <f t="array" ref="E898">_xlfn.IFS(D898&lt;40000,"Low Income",D898&lt;=80000,"Moderate Income",D898&gt;80000,"High Income")</f>
        <v>Moderate Income</v>
      </c>
      <c r="F898">
        <v>1</v>
      </c>
      <c r="G898" t="s">
        <v>15</v>
      </c>
      <c r="H898" t="s">
        <v>16</v>
      </c>
      <c r="I898" t="s">
        <v>17</v>
      </c>
      <c r="J898">
        <v>0</v>
      </c>
      <c r="K898" t="s">
        <v>18</v>
      </c>
      <c r="L898" t="s">
        <v>35</v>
      </c>
      <c r="M898">
        <v>34</v>
      </c>
      <c r="N898" t="str">
        <f t="shared" si="13"/>
        <v>Middle-Aged</v>
      </c>
      <c r="O898" t="s">
        <v>17</v>
      </c>
    </row>
    <row r="899" spans="1:15">
      <c r="A899">
        <v>12029</v>
      </c>
      <c r="B899" t="s">
        <v>63</v>
      </c>
      <c r="C899" t="s">
        <v>49</v>
      </c>
      <c r="D899" s="1">
        <v>30000</v>
      </c>
      <c r="E899" t="str" cm="1">
        <f t="array" ref="E899">_xlfn.IFS(D899&lt;40000,"Low Income",D899&lt;=80000,"Moderate Income",D899&gt;80000,"High Income")</f>
        <v>Low Income</v>
      </c>
      <c r="F899">
        <v>0</v>
      </c>
      <c r="G899" t="s">
        <v>32</v>
      </c>
      <c r="H899" t="s">
        <v>22</v>
      </c>
      <c r="I899" t="s">
        <v>20</v>
      </c>
      <c r="J899">
        <v>2</v>
      </c>
      <c r="K899" t="s">
        <v>18</v>
      </c>
      <c r="L899" t="s">
        <v>35</v>
      </c>
      <c r="M899">
        <v>28</v>
      </c>
      <c r="N899" t="str">
        <f t="shared" ref="N899:N962" si="14">IF(M899&gt;=60,"Seniors",IF(M899&gt;30,"Middle-Aged",IF(M899&lt;=30,"Young Adults")))</f>
        <v>Young Adults</v>
      </c>
      <c r="O899" t="s">
        <v>20</v>
      </c>
    </row>
    <row r="900" spans="1:15">
      <c r="A900">
        <v>18066</v>
      </c>
      <c r="B900" t="s">
        <v>64</v>
      </c>
      <c r="C900" t="s">
        <v>49</v>
      </c>
      <c r="D900" s="1">
        <v>70000</v>
      </c>
      <c r="E900" t="str" cm="1">
        <f t="array" ref="E900">_xlfn.IFS(D900&lt;40000,"Low Income",D900&lt;=80000,"Moderate Income",D900&gt;80000,"High Income")</f>
        <v>Moderate Income</v>
      </c>
      <c r="F900">
        <v>5</v>
      </c>
      <c r="G900" t="s">
        <v>15</v>
      </c>
      <c r="H900" t="s">
        <v>31</v>
      </c>
      <c r="I900" t="s">
        <v>17</v>
      </c>
      <c r="J900">
        <v>3</v>
      </c>
      <c r="K900" t="s">
        <v>61</v>
      </c>
      <c r="L900" t="s">
        <v>35</v>
      </c>
      <c r="M900">
        <v>60</v>
      </c>
      <c r="N900" t="str">
        <f t="shared" si="14"/>
        <v>Seniors</v>
      </c>
      <c r="O900" t="s">
        <v>17</v>
      </c>
    </row>
    <row r="901" spans="1:15">
      <c r="A901">
        <v>28192</v>
      </c>
      <c r="B901" t="s">
        <v>63</v>
      </c>
      <c r="C901" t="s">
        <v>47</v>
      </c>
      <c r="D901" s="1">
        <v>70000</v>
      </c>
      <c r="E901" t="str" cm="1">
        <f t="array" ref="E901">_xlfn.IFS(D901&lt;40000,"Low Income",D901&lt;=80000,"Moderate Income",D901&gt;80000,"High Income")</f>
        <v>Moderate Income</v>
      </c>
      <c r="F901">
        <v>5</v>
      </c>
      <c r="G901" t="s">
        <v>34</v>
      </c>
      <c r="H901" t="s">
        <v>23</v>
      </c>
      <c r="I901" t="s">
        <v>17</v>
      </c>
      <c r="J901">
        <v>3</v>
      </c>
      <c r="K901" t="s">
        <v>61</v>
      </c>
      <c r="L901" t="s">
        <v>35</v>
      </c>
      <c r="M901">
        <v>46</v>
      </c>
      <c r="N901" t="str">
        <f t="shared" si="14"/>
        <v>Middle-Aged</v>
      </c>
      <c r="O901" t="s">
        <v>20</v>
      </c>
    </row>
    <row r="902" spans="1:15">
      <c r="A902">
        <v>16122</v>
      </c>
      <c r="B902" t="s">
        <v>63</v>
      </c>
      <c r="C902" t="s">
        <v>49</v>
      </c>
      <c r="D902" s="1">
        <v>40000</v>
      </c>
      <c r="E902" t="str" cm="1">
        <f t="array" ref="E902">_xlfn.IFS(D902&lt;40000,"Low Income",D902&lt;=80000,"Moderate Income",D902&gt;80000,"High Income")</f>
        <v>Moderate Income</v>
      </c>
      <c r="F902">
        <v>4</v>
      </c>
      <c r="G902" t="s">
        <v>30</v>
      </c>
      <c r="H902" t="s">
        <v>16</v>
      </c>
      <c r="I902" t="s">
        <v>17</v>
      </c>
      <c r="J902">
        <v>2</v>
      </c>
      <c r="K902" t="s">
        <v>18</v>
      </c>
      <c r="L902" t="s">
        <v>35</v>
      </c>
      <c r="M902">
        <v>44</v>
      </c>
      <c r="N902" t="str">
        <f t="shared" si="14"/>
        <v>Middle-Aged</v>
      </c>
      <c r="O902" t="s">
        <v>17</v>
      </c>
    </row>
    <row r="903" spans="1:15">
      <c r="A903">
        <v>18607</v>
      </c>
      <c r="B903" t="s">
        <v>64</v>
      </c>
      <c r="C903" t="s">
        <v>47</v>
      </c>
      <c r="D903" s="1">
        <v>60000</v>
      </c>
      <c r="E903" t="str" cm="1">
        <f t="array" ref="E903">_xlfn.IFS(D903&lt;40000,"Low Income",D903&lt;=80000,"Moderate Income",D903&gt;80000,"High Income")</f>
        <v>Moderate Income</v>
      </c>
      <c r="F903">
        <v>4</v>
      </c>
      <c r="G903" t="s">
        <v>15</v>
      </c>
      <c r="H903" t="s">
        <v>16</v>
      </c>
      <c r="I903" t="s">
        <v>17</v>
      </c>
      <c r="J903">
        <v>2</v>
      </c>
      <c r="K903" t="s">
        <v>24</v>
      </c>
      <c r="L903" t="s">
        <v>35</v>
      </c>
      <c r="M903">
        <v>42</v>
      </c>
      <c r="N903" t="str">
        <f t="shared" si="14"/>
        <v>Middle-Aged</v>
      </c>
      <c r="O903" t="s">
        <v>17</v>
      </c>
    </row>
    <row r="904" spans="1:15">
      <c r="A904">
        <v>28858</v>
      </c>
      <c r="B904" t="s">
        <v>64</v>
      </c>
      <c r="C904" t="s">
        <v>49</v>
      </c>
      <c r="D904" s="1">
        <v>80000</v>
      </c>
      <c r="E904" t="str" cm="1">
        <f t="array" ref="E904">_xlfn.IFS(D904&lt;40000,"Low Income",D904&lt;=80000,"Moderate Income",D904&gt;80000,"High Income")</f>
        <v>Moderate Income</v>
      </c>
      <c r="F904">
        <v>3</v>
      </c>
      <c r="G904" t="s">
        <v>15</v>
      </c>
      <c r="H904" t="s">
        <v>16</v>
      </c>
      <c r="I904" t="s">
        <v>17</v>
      </c>
      <c r="J904">
        <v>0</v>
      </c>
      <c r="K904" t="s">
        <v>24</v>
      </c>
      <c r="L904" t="s">
        <v>35</v>
      </c>
      <c r="M904">
        <v>40</v>
      </c>
      <c r="N904" t="str">
        <f t="shared" si="14"/>
        <v>Middle-Aged</v>
      </c>
      <c r="O904" t="s">
        <v>20</v>
      </c>
    </row>
    <row r="905" spans="1:15">
      <c r="A905">
        <v>14432</v>
      </c>
      <c r="B905" t="s">
        <v>64</v>
      </c>
      <c r="C905" t="s">
        <v>49</v>
      </c>
      <c r="D905" s="1">
        <v>90000</v>
      </c>
      <c r="E905" t="str" cm="1">
        <f t="array" ref="E905">_xlfn.IFS(D905&lt;40000,"Low Income",D905&lt;=80000,"Moderate Income",D905&gt;80000,"High Income")</f>
        <v>High Income</v>
      </c>
      <c r="F905">
        <v>4</v>
      </c>
      <c r="G905" t="s">
        <v>34</v>
      </c>
      <c r="H905" t="s">
        <v>31</v>
      </c>
      <c r="I905" t="s">
        <v>17</v>
      </c>
      <c r="J905">
        <v>1</v>
      </c>
      <c r="K905" t="s">
        <v>26</v>
      </c>
      <c r="L905" t="s">
        <v>35</v>
      </c>
      <c r="M905">
        <v>73</v>
      </c>
      <c r="N905" t="str">
        <f t="shared" si="14"/>
        <v>Seniors</v>
      </c>
      <c r="O905" t="s">
        <v>20</v>
      </c>
    </row>
    <row r="906" spans="1:15">
      <c r="A906">
        <v>26305</v>
      </c>
      <c r="B906" t="s">
        <v>64</v>
      </c>
      <c r="C906" t="s">
        <v>47</v>
      </c>
      <c r="D906" s="1">
        <v>60000</v>
      </c>
      <c r="E906" t="str" cm="1">
        <f t="array" ref="E906">_xlfn.IFS(D906&lt;40000,"Low Income",D906&lt;=80000,"Moderate Income",D906&gt;80000,"High Income")</f>
        <v>Moderate Income</v>
      </c>
      <c r="F906">
        <v>2</v>
      </c>
      <c r="G906" t="s">
        <v>15</v>
      </c>
      <c r="H906" t="s">
        <v>16</v>
      </c>
      <c r="I906" t="s">
        <v>20</v>
      </c>
      <c r="J906">
        <v>0</v>
      </c>
      <c r="K906" t="s">
        <v>18</v>
      </c>
      <c r="L906" t="s">
        <v>35</v>
      </c>
      <c r="M906">
        <v>36</v>
      </c>
      <c r="N906" t="str">
        <f t="shared" si="14"/>
        <v>Middle-Aged</v>
      </c>
      <c r="O906" t="s">
        <v>17</v>
      </c>
    </row>
    <row r="907" spans="1:15">
      <c r="A907">
        <v>22050</v>
      </c>
      <c r="B907" t="s">
        <v>64</v>
      </c>
      <c r="C907" t="s">
        <v>49</v>
      </c>
      <c r="D907" s="1">
        <v>90000</v>
      </c>
      <c r="E907" t="str" cm="1">
        <f t="array" ref="E907">_xlfn.IFS(D907&lt;40000,"Low Income",D907&lt;=80000,"Moderate Income",D907&gt;80000,"High Income")</f>
        <v>High Income</v>
      </c>
      <c r="F907">
        <v>4</v>
      </c>
      <c r="G907" t="s">
        <v>15</v>
      </c>
      <c r="H907" t="s">
        <v>31</v>
      </c>
      <c r="I907" t="s">
        <v>17</v>
      </c>
      <c r="J907">
        <v>1</v>
      </c>
      <c r="K907" t="s">
        <v>29</v>
      </c>
      <c r="L907" t="s">
        <v>35</v>
      </c>
      <c r="M907">
        <v>38</v>
      </c>
      <c r="N907" t="str">
        <f t="shared" si="14"/>
        <v>Middle-Aged</v>
      </c>
      <c r="O907" t="s">
        <v>17</v>
      </c>
    </row>
    <row r="908" spans="1:15">
      <c r="A908">
        <v>25394</v>
      </c>
      <c r="B908" t="s">
        <v>63</v>
      </c>
      <c r="C908" t="s">
        <v>49</v>
      </c>
      <c r="D908" s="1">
        <v>60000</v>
      </c>
      <c r="E908" t="str" cm="1">
        <f t="array" ref="E908">_xlfn.IFS(D908&lt;40000,"Low Income",D908&lt;=80000,"Moderate Income",D908&gt;80000,"High Income")</f>
        <v>Moderate Income</v>
      </c>
      <c r="F908">
        <v>1</v>
      </c>
      <c r="G908" t="s">
        <v>34</v>
      </c>
      <c r="H908" t="s">
        <v>23</v>
      </c>
      <c r="I908" t="s">
        <v>17</v>
      </c>
      <c r="J908">
        <v>0</v>
      </c>
      <c r="K908" t="s">
        <v>24</v>
      </c>
      <c r="L908" t="s">
        <v>35</v>
      </c>
      <c r="M908">
        <v>34</v>
      </c>
      <c r="N908" t="str">
        <f t="shared" si="14"/>
        <v>Middle-Aged</v>
      </c>
      <c r="O908" t="s">
        <v>17</v>
      </c>
    </row>
    <row r="909" spans="1:15">
      <c r="A909">
        <v>19747</v>
      </c>
      <c r="B909" t="s">
        <v>63</v>
      </c>
      <c r="C909" t="s">
        <v>49</v>
      </c>
      <c r="D909" s="1">
        <v>50000</v>
      </c>
      <c r="E909" t="str" cm="1">
        <f t="array" ref="E909">_xlfn.IFS(D909&lt;40000,"Low Income",D909&lt;=80000,"Moderate Income",D909&gt;80000,"High Income")</f>
        <v>Moderate Income</v>
      </c>
      <c r="F909">
        <v>4</v>
      </c>
      <c r="G909" t="s">
        <v>15</v>
      </c>
      <c r="H909" t="s">
        <v>31</v>
      </c>
      <c r="I909" t="s">
        <v>17</v>
      </c>
      <c r="J909">
        <v>2</v>
      </c>
      <c r="K909" t="s">
        <v>61</v>
      </c>
      <c r="L909" t="s">
        <v>35</v>
      </c>
      <c r="M909">
        <v>63</v>
      </c>
      <c r="N909" t="str">
        <f t="shared" si="14"/>
        <v>Seniors</v>
      </c>
      <c r="O909" t="s">
        <v>20</v>
      </c>
    </row>
    <row r="910" spans="1:15">
      <c r="A910">
        <v>23195</v>
      </c>
      <c r="B910" t="s">
        <v>64</v>
      </c>
      <c r="C910" t="s">
        <v>49</v>
      </c>
      <c r="D910" s="1">
        <v>50000</v>
      </c>
      <c r="E910" t="str" cm="1">
        <f t="array" ref="E910">_xlfn.IFS(D910&lt;40000,"Low Income",D910&lt;=80000,"Moderate Income",D910&gt;80000,"High Income")</f>
        <v>Moderate Income</v>
      </c>
      <c r="F910">
        <v>3</v>
      </c>
      <c r="G910" t="s">
        <v>15</v>
      </c>
      <c r="H910" t="s">
        <v>16</v>
      </c>
      <c r="I910" t="s">
        <v>17</v>
      </c>
      <c r="J910">
        <v>2</v>
      </c>
      <c r="K910" t="s">
        <v>24</v>
      </c>
      <c r="L910" t="s">
        <v>35</v>
      </c>
      <c r="M910">
        <v>41</v>
      </c>
      <c r="N910" t="str">
        <f t="shared" si="14"/>
        <v>Middle-Aged</v>
      </c>
      <c r="O910" t="s">
        <v>17</v>
      </c>
    </row>
    <row r="911" spans="1:15">
      <c r="A911">
        <v>21695</v>
      </c>
      <c r="B911" t="s">
        <v>63</v>
      </c>
      <c r="C911" t="s">
        <v>49</v>
      </c>
      <c r="D911" s="1">
        <v>60000</v>
      </c>
      <c r="E911" t="str" cm="1">
        <f t="array" ref="E911">_xlfn.IFS(D911&lt;40000,"Low Income",D911&lt;=80000,"Moderate Income",D911&gt;80000,"High Income")</f>
        <v>Moderate Income</v>
      </c>
      <c r="F911">
        <v>0</v>
      </c>
      <c r="G911" t="s">
        <v>34</v>
      </c>
      <c r="H911" t="s">
        <v>16</v>
      </c>
      <c r="I911" t="s">
        <v>17</v>
      </c>
      <c r="J911">
        <v>0</v>
      </c>
      <c r="K911" t="s">
        <v>29</v>
      </c>
      <c r="L911" t="s">
        <v>35</v>
      </c>
      <c r="M911">
        <v>39</v>
      </c>
      <c r="N911" t="str">
        <f t="shared" si="14"/>
        <v>Middle-Aged</v>
      </c>
      <c r="O911" t="s">
        <v>17</v>
      </c>
    </row>
    <row r="912" spans="1:15">
      <c r="A912">
        <v>13934</v>
      </c>
      <c r="B912" t="s">
        <v>63</v>
      </c>
      <c r="C912" t="s">
        <v>49</v>
      </c>
      <c r="D912" s="1">
        <v>40000</v>
      </c>
      <c r="E912" t="str" cm="1">
        <f t="array" ref="E912">_xlfn.IFS(D912&lt;40000,"Low Income",D912&lt;=80000,"Moderate Income",D912&gt;80000,"High Income")</f>
        <v>Moderate Income</v>
      </c>
      <c r="F912">
        <v>4</v>
      </c>
      <c r="G912" t="s">
        <v>30</v>
      </c>
      <c r="H912" t="s">
        <v>16</v>
      </c>
      <c r="I912" t="s">
        <v>17</v>
      </c>
      <c r="J912">
        <v>2</v>
      </c>
      <c r="K912" t="s">
        <v>24</v>
      </c>
      <c r="L912" t="s">
        <v>35</v>
      </c>
      <c r="M912">
        <v>46</v>
      </c>
      <c r="N912" t="str">
        <f t="shared" si="14"/>
        <v>Middle-Aged</v>
      </c>
      <c r="O912" t="s">
        <v>20</v>
      </c>
    </row>
    <row r="913" spans="1:15">
      <c r="A913">
        <v>13337</v>
      </c>
      <c r="B913" t="s">
        <v>63</v>
      </c>
      <c r="C913" t="s">
        <v>47</v>
      </c>
      <c r="D913" s="1">
        <v>80000</v>
      </c>
      <c r="E913" t="str" cm="1">
        <f t="array" ref="E913">_xlfn.IFS(D913&lt;40000,"Low Income",D913&lt;=80000,"Moderate Income",D913&gt;80000,"High Income")</f>
        <v>Moderate Income</v>
      </c>
      <c r="F913">
        <v>5</v>
      </c>
      <c r="G913" t="s">
        <v>15</v>
      </c>
      <c r="H913" t="s">
        <v>31</v>
      </c>
      <c r="I913" t="s">
        <v>17</v>
      </c>
      <c r="J913">
        <v>2</v>
      </c>
      <c r="K913" t="s">
        <v>26</v>
      </c>
      <c r="L913" t="s">
        <v>35</v>
      </c>
      <c r="M913">
        <v>64</v>
      </c>
      <c r="N913" t="str">
        <f t="shared" si="14"/>
        <v>Seniors</v>
      </c>
      <c r="O913" t="s">
        <v>20</v>
      </c>
    </row>
    <row r="914" spans="1:15">
      <c r="A914">
        <v>27190</v>
      </c>
      <c r="B914" t="s">
        <v>63</v>
      </c>
      <c r="C914" t="s">
        <v>47</v>
      </c>
      <c r="D914" s="1">
        <v>40000</v>
      </c>
      <c r="E914" t="str" cm="1">
        <f t="array" ref="E914">_xlfn.IFS(D914&lt;40000,"Low Income",D914&lt;=80000,"Moderate Income",D914&gt;80000,"High Income")</f>
        <v>Moderate Income</v>
      </c>
      <c r="F914">
        <v>3</v>
      </c>
      <c r="G914" t="s">
        <v>21</v>
      </c>
      <c r="H914" t="s">
        <v>22</v>
      </c>
      <c r="I914" t="s">
        <v>17</v>
      </c>
      <c r="J914">
        <v>1</v>
      </c>
      <c r="K914" t="s">
        <v>29</v>
      </c>
      <c r="L914" t="s">
        <v>35</v>
      </c>
      <c r="M914">
        <v>32</v>
      </c>
      <c r="N914" t="str">
        <f t="shared" si="14"/>
        <v>Middle-Aged</v>
      </c>
      <c r="O914" t="s">
        <v>20</v>
      </c>
    </row>
    <row r="915" spans="1:15">
      <c r="A915">
        <v>28657</v>
      </c>
      <c r="B915" t="s">
        <v>64</v>
      </c>
      <c r="C915" t="s">
        <v>49</v>
      </c>
      <c r="D915" s="1">
        <v>60000</v>
      </c>
      <c r="E915" t="str" cm="1">
        <f t="array" ref="E915">_xlfn.IFS(D915&lt;40000,"Low Income",D915&lt;=80000,"Moderate Income",D915&gt;80000,"High Income")</f>
        <v>Moderate Income</v>
      </c>
      <c r="F915">
        <v>2</v>
      </c>
      <c r="G915" t="s">
        <v>15</v>
      </c>
      <c r="H915" t="s">
        <v>16</v>
      </c>
      <c r="I915" t="s">
        <v>17</v>
      </c>
      <c r="J915">
        <v>0</v>
      </c>
      <c r="K915" t="s">
        <v>24</v>
      </c>
      <c r="L915" t="s">
        <v>35</v>
      </c>
      <c r="M915">
        <v>36</v>
      </c>
      <c r="N915" t="str">
        <f t="shared" si="14"/>
        <v>Middle-Aged</v>
      </c>
      <c r="O915" t="s">
        <v>17</v>
      </c>
    </row>
    <row r="916" spans="1:15">
      <c r="A916">
        <v>21713</v>
      </c>
      <c r="B916" t="s">
        <v>64</v>
      </c>
      <c r="C916" t="s">
        <v>49</v>
      </c>
      <c r="D916" s="1">
        <v>80000</v>
      </c>
      <c r="E916" t="str" cm="1">
        <f t="array" ref="E916">_xlfn.IFS(D916&lt;40000,"Low Income",D916&lt;=80000,"Moderate Income",D916&gt;80000,"High Income")</f>
        <v>Moderate Income</v>
      </c>
      <c r="F916">
        <v>5</v>
      </c>
      <c r="G916" t="s">
        <v>34</v>
      </c>
      <c r="H916" t="s">
        <v>16</v>
      </c>
      <c r="I916" t="s">
        <v>20</v>
      </c>
      <c r="J916">
        <v>0</v>
      </c>
      <c r="K916" t="s">
        <v>18</v>
      </c>
      <c r="L916" t="s">
        <v>35</v>
      </c>
      <c r="M916">
        <v>47</v>
      </c>
      <c r="N916" t="str">
        <f t="shared" si="14"/>
        <v>Middle-Aged</v>
      </c>
      <c r="O916" t="s">
        <v>20</v>
      </c>
    </row>
    <row r="917" spans="1:15">
      <c r="A917">
        <v>21752</v>
      </c>
      <c r="B917" t="s">
        <v>63</v>
      </c>
      <c r="C917" t="s">
        <v>49</v>
      </c>
      <c r="D917" s="1">
        <v>60000</v>
      </c>
      <c r="E917" t="str" cm="1">
        <f t="array" ref="E917">_xlfn.IFS(D917&lt;40000,"Low Income",D917&lt;=80000,"Moderate Income",D917&gt;80000,"High Income")</f>
        <v>Moderate Income</v>
      </c>
      <c r="F917">
        <v>3</v>
      </c>
      <c r="G917" t="s">
        <v>34</v>
      </c>
      <c r="H917" t="s">
        <v>31</v>
      </c>
      <c r="I917" t="s">
        <v>17</v>
      </c>
      <c r="J917">
        <v>2</v>
      </c>
      <c r="K917" t="s">
        <v>61</v>
      </c>
      <c r="L917" t="s">
        <v>35</v>
      </c>
      <c r="M917">
        <v>64</v>
      </c>
      <c r="N917" t="str">
        <f t="shared" si="14"/>
        <v>Seniors</v>
      </c>
      <c r="O917" t="s">
        <v>20</v>
      </c>
    </row>
    <row r="918" spans="1:15">
      <c r="A918">
        <v>27273</v>
      </c>
      <c r="B918" t="s">
        <v>64</v>
      </c>
      <c r="C918" t="s">
        <v>49</v>
      </c>
      <c r="D918" s="1">
        <v>70000</v>
      </c>
      <c r="E918" t="str" cm="1">
        <f t="array" ref="E918">_xlfn.IFS(D918&lt;40000,"Low Income",D918&lt;=80000,"Moderate Income",D918&gt;80000,"High Income")</f>
        <v>Moderate Income</v>
      </c>
      <c r="F918">
        <v>3</v>
      </c>
      <c r="G918" t="s">
        <v>34</v>
      </c>
      <c r="H918" t="s">
        <v>23</v>
      </c>
      <c r="I918" t="s">
        <v>20</v>
      </c>
      <c r="J918">
        <v>0</v>
      </c>
      <c r="K918" t="s">
        <v>18</v>
      </c>
      <c r="L918" t="s">
        <v>35</v>
      </c>
      <c r="M918">
        <v>35</v>
      </c>
      <c r="N918" t="str">
        <f t="shared" si="14"/>
        <v>Middle-Aged</v>
      </c>
      <c r="O918" t="s">
        <v>17</v>
      </c>
    </row>
    <row r="919" spans="1:15">
      <c r="A919">
        <v>22719</v>
      </c>
      <c r="B919" t="s">
        <v>64</v>
      </c>
      <c r="C919" t="s">
        <v>49</v>
      </c>
      <c r="D919" s="1">
        <v>110000</v>
      </c>
      <c r="E919" t="str" cm="1">
        <f t="array" ref="E919">_xlfn.IFS(D919&lt;40000,"Low Income",D919&lt;=80000,"Moderate Income",D919&gt;80000,"High Income")</f>
        <v>High Income</v>
      </c>
      <c r="F919">
        <v>3</v>
      </c>
      <c r="G919" t="s">
        <v>15</v>
      </c>
      <c r="H919" t="s">
        <v>31</v>
      </c>
      <c r="I919" t="s">
        <v>17</v>
      </c>
      <c r="J919">
        <v>4</v>
      </c>
      <c r="K919" t="s">
        <v>24</v>
      </c>
      <c r="L919" t="s">
        <v>35</v>
      </c>
      <c r="M919">
        <v>40</v>
      </c>
      <c r="N919" t="str">
        <f t="shared" si="14"/>
        <v>Middle-Aged</v>
      </c>
      <c r="O919" t="s">
        <v>17</v>
      </c>
    </row>
    <row r="920" spans="1:15">
      <c r="A920">
        <v>22042</v>
      </c>
      <c r="B920" t="s">
        <v>63</v>
      </c>
      <c r="C920" t="s">
        <v>47</v>
      </c>
      <c r="D920" s="1">
        <v>70000</v>
      </c>
      <c r="E920" t="str" cm="1">
        <f t="array" ref="E920">_xlfn.IFS(D920&lt;40000,"Low Income",D920&lt;=80000,"Moderate Income",D920&gt;80000,"High Income")</f>
        <v>Moderate Income</v>
      </c>
      <c r="F920">
        <v>0</v>
      </c>
      <c r="G920" t="s">
        <v>21</v>
      </c>
      <c r="H920" t="s">
        <v>16</v>
      </c>
      <c r="I920" t="s">
        <v>17</v>
      </c>
      <c r="J920">
        <v>2</v>
      </c>
      <c r="K920" t="s">
        <v>26</v>
      </c>
      <c r="L920" t="s">
        <v>35</v>
      </c>
      <c r="M920">
        <v>34</v>
      </c>
      <c r="N920" t="str">
        <f t="shared" si="14"/>
        <v>Middle-Aged</v>
      </c>
      <c r="O920" t="s">
        <v>17</v>
      </c>
    </row>
    <row r="921" spans="1:15">
      <c r="A921">
        <v>21451</v>
      </c>
      <c r="B921" t="s">
        <v>63</v>
      </c>
      <c r="C921" t="s">
        <v>47</v>
      </c>
      <c r="D921" s="1">
        <v>40000</v>
      </c>
      <c r="E921" t="str" cm="1">
        <f t="array" ref="E921">_xlfn.IFS(D921&lt;40000,"Low Income",D921&lt;=80000,"Moderate Income",D921&gt;80000,"High Income")</f>
        <v>Moderate Income</v>
      </c>
      <c r="F921">
        <v>4</v>
      </c>
      <c r="G921" t="s">
        <v>30</v>
      </c>
      <c r="H921" t="s">
        <v>23</v>
      </c>
      <c r="I921" t="s">
        <v>17</v>
      </c>
      <c r="J921">
        <v>2</v>
      </c>
      <c r="K921" t="s">
        <v>61</v>
      </c>
      <c r="L921" t="s">
        <v>35</v>
      </c>
      <c r="M921">
        <v>61</v>
      </c>
      <c r="N921" t="str">
        <f t="shared" si="14"/>
        <v>Seniors</v>
      </c>
      <c r="O921" t="s">
        <v>20</v>
      </c>
    </row>
    <row r="922" spans="1:15">
      <c r="A922">
        <v>20754</v>
      </c>
      <c r="B922" t="s">
        <v>63</v>
      </c>
      <c r="C922" t="s">
        <v>49</v>
      </c>
      <c r="D922" s="1">
        <v>30000</v>
      </c>
      <c r="E922" t="str" cm="1">
        <f t="array" ref="E922">_xlfn.IFS(D922&lt;40000,"Low Income",D922&lt;=80000,"Moderate Income",D922&gt;80000,"High Income")</f>
        <v>Low Income</v>
      </c>
      <c r="F922">
        <v>2</v>
      </c>
      <c r="G922" t="s">
        <v>30</v>
      </c>
      <c r="H922" t="s">
        <v>16</v>
      </c>
      <c r="I922" t="s">
        <v>17</v>
      </c>
      <c r="J922">
        <v>2</v>
      </c>
      <c r="K922" t="s">
        <v>29</v>
      </c>
      <c r="L922" t="s">
        <v>35</v>
      </c>
      <c r="M922">
        <v>51</v>
      </c>
      <c r="N922" t="str">
        <f t="shared" si="14"/>
        <v>Middle-Aged</v>
      </c>
      <c r="O922" t="s">
        <v>20</v>
      </c>
    </row>
    <row r="923" spans="1:15">
      <c r="A923">
        <v>12153</v>
      </c>
      <c r="B923" t="s">
        <v>64</v>
      </c>
      <c r="C923" t="s">
        <v>47</v>
      </c>
      <c r="D923" s="1">
        <v>70000</v>
      </c>
      <c r="E923" t="str" cm="1">
        <f t="array" ref="E923">_xlfn.IFS(D923&lt;40000,"Low Income",D923&lt;=80000,"Moderate Income",D923&gt;80000,"High Income")</f>
        <v>Moderate Income</v>
      </c>
      <c r="F923">
        <v>3</v>
      </c>
      <c r="G923" t="s">
        <v>21</v>
      </c>
      <c r="H923" t="s">
        <v>23</v>
      </c>
      <c r="I923" t="s">
        <v>17</v>
      </c>
      <c r="J923">
        <v>1</v>
      </c>
      <c r="K923" t="s">
        <v>26</v>
      </c>
      <c r="L923" t="s">
        <v>35</v>
      </c>
      <c r="M923">
        <v>49</v>
      </c>
      <c r="N923" t="str">
        <f t="shared" si="14"/>
        <v>Middle-Aged</v>
      </c>
      <c r="O923" t="s">
        <v>17</v>
      </c>
    </row>
    <row r="924" spans="1:15">
      <c r="A924">
        <v>16895</v>
      </c>
      <c r="B924" t="s">
        <v>63</v>
      </c>
      <c r="C924" t="s">
        <v>47</v>
      </c>
      <c r="D924" s="1">
        <v>40000</v>
      </c>
      <c r="E924" t="str" cm="1">
        <f t="array" ref="E924">_xlfn.IFS(D924&lt;40000,"Low Income",D924&lt;=80000,"Moderate Income",D924&gt;80000,"High Income")</f>
        <v>Moderate Income</v>
      </c>
      <c r="F924">
        <v>3</v>
      </c>
      <c r="G924" t="s">
        <v>21</v>
      </c>
      <c r="H924" t="s">
        <v>23</v>
      </c>
      <c r="I924" t="s">
        <v>20</v>
      </c>
      <c r="J924">
        <v>2</v>
      </c>
      <c r="K924" t="s">
        <v>29</v>
      </c>
      <c r="L924" t="s">
        <v>35</v>
      </c>
      <c r="M924">
        <v>54</v>
      </c>
      <c r="N924" t="str">
        <f t="shared" si="14"/>
        <v>Middle-Aged</v>
      </c>
      <c r="O924" t="s">
        <v>17</v>
      </c>
    </row>
    <row r="925" spans="1:15">
      <c r="A925">
        <v>26728</v>
      </c>
      <c r="B925" t="s">
        <v>64</v>
      </c>
      <c r="C925" t="s">
        <v>49</v>
      </c>
      <c r="D925" s="1">
        <v>70000</v>
      </c>
      <c r="E925" t="str" cm="1">
        <f t="array" ref="E925">_xlfn.IFS(D925&lt;40000,"Low Income",D925&lt;=80000,"Moderate Income",D925&gt;80000,"High Income")</f>
        <v>Moderate Income</v>
      </c>
      <c r="F925">
        <v>3</v>
      </c>
      <c r="G925" t="s">
        <v>34</v>
      </c>
      <c r="H925" t="s">
        <v>31</v>
      </c>
      <c r="I925" t="s">
        <v>20</v>
      </c>
      <c r="J925">
        <v>2</v>
      </c>
      <c r="K925" t="s">
        <v>29</v>
      </c>
      <c r="L925" t="s">
        <v>35</v>
      </c>
      <c r="M925">
        <v>53</v>
      </c>
      <c r="N925" t="str">
        <f t="shared" si="14"/>
        <v>Middle-Aged</v>
      </c>
      <c r="O925" t="s">
        <v>17</v>
      </c>
    </row>
    <row r="926" spans="1:15">
      <c r="A926">
        <v>11090</v>
      </c>
      <c r="B926" t="s">
        <v>64</v>
      </c>
      <c r="C926" t="s">
        <v>49</v>
      </c>
      <c r="D926" s="1">
        <v>90000</v>
      </c>
      <c r="E926" t="str" cm="1">
        <f t="array" ref="E926">_xlfn.IFS(D926&lt;40000,"Low Income",D926&lt;=80000,"Moderate Income",D926&gt;80000,"High Income")</f>
        <v>High Income</v>
      </c>
      <c r="F926">
        <v>2</v>
      </c>
      <c r="G926" t="s">
        <v>21</v>
      </c>
      <c r="H926" t="s">
        <v>23</v>
      </c>
      <c r="I926" t="s">
        <v>17</v>
      </c>
      <c r="J926">
        <v>1</v>
      </c>
      <c r="K926" t="s">
        <v>24</v>
      </c>
      <c r="L926" t="s">
        <v>35</v>
      </c>
      <c r="M926">
        <v>48</v>
      </c>
      <c r="N926" t="str">
        <f t="shared" si="14"/>
        <v>Middle-Aged</v>
      </c>
      <c r="O926" t="s">
        <v>17</v>
      </c>
    </row>
    <row r="927" spans="1:15">
      <c r="A927">
        <v>15862</v>
      </c>
      <c r="B927" t="s">
        <v>64</v>
      </c>
      <c r="C927" t="s">
        <v>47</v>
      </c>
      <c r="D927" s="1">
        <v>50000</v>
      </c>
      <c r="E927" t="str" cm="1">
        <f t="array" ref="E927">_xlfn.IFS(D927&lt;40000,"Low Income",D927&lt;=80000,"Moderate Income",D927&gt;80000,"High Income")</f>
        <v>Moderate Income</v>
      </c>
      <c r="F927">
        <v>0</v>
      </c>
      <c r="G927" t="s">
        <v>34</v>
      </c>
      <c r="H927" t="s">
        <v>16</v>
      </c>
      <c r="I927" t="s">
        <v>17</v>
      </c>
      <c r="J927">
        <v>0</v>
      </c>
      <c r="K927" t="s">
        <v>29</v>
      </c>
      <c r="L927" t="s">
        <v>35</v>
      </c>
      <c r="M927">
        <v>33</v>
      </c>
      <c r="N927" t="str">
        <f t="shared" si="14"/>
        <v>Middle-Aged</v>
      </c>
      <c r="O927" t="s">
        <v>17</v>
      </c>
    </row>
    <row r="928" spans="1:15">
      <c r="A928">
        <v>26495</v>
      </c>
      <c r="B928" t="s">
        <v>64</v>
      </c>
      <c r="C928" t="s">
        <v>47</v>
      </c>
      <c r="D928" s="1">
        <v>40000</v>
      </c>
      <c r="E928" t="str" cm="1">
        <f t="array" ref="E928">_xlfn.IFS(D928&lt;40000,"Low Income",D928&lt;=80000,"Moderate Income",D928&gt;80000,"High Income")</f>
        <v>Moderate Income</v>
      </c>
      <c r="F928">
        <v>2</v>
      </c>
      <c r="G928" t="s">
        <v>30</v>
      </c>
      <c r="H928" t="s">
        <v>23</v>
      </c>
      <c r="I928" t="s">
        <v>17</v>
      </c>
      <c r="J928">
        <v>2</v>
      </c>
      <c r="K928" t="s">
        <v>61</v>
      </c>
      <c r="L928" t="s">
        <v>35</v>
      </c>
      <c r="M928">
        <v>57</v>
      </c>
      <c r="N928" t="str">
        <f t="shared" si="14"/>
        <v>Middle-Aged</v>
      </c>
      <c r="O928" t="s">
        <v>20</v>
      </c>
    </row>
    <row r="929" spans="1:15">
      <c r="A929">
        <v>11823</v>
      </c>
      <c r="B929" t="s">
        <v>63</v>
      </c>
      <c r="C929" t="s">
        <v>47</v>
      </c>
      <c r="D929" s="1">
        <v>70000</v>
      </c>
      <c r="E929" t="str" cm="1">
        <f t="array" ref="E929">_xlfn.IFS(D929&lt;40000,"Low Income",D929&lt;=80000,"Moderate Income",D929&gt;80000,"High Income")</f>
        <v>Moderate Income</v>
      </c>
      <c r="F929">
        <v>0</v>
      </c>
      <c r="G929" t="s">
        <v>34</v>
      </c>
      <c r="H929" t="s">
        <v>23</v>
      </c>
      <c r="I929" t="s">
        <v>17</v>
      </c>
      <c r="J929">
        <v>0</v>
      </c>
      <c r="K929" t="s">
        <v>24</v>
      </c>
      <c r="L929" t="s">
        <v>35</v>
      </c>
      <c r="M929">
        <v>39</v>
      </c>
      <c r="N929" t="str">
        <f t="shared" si="14"/>
        <v>Middle-Aged</v>
      </c>
      <c r="O929" t="s">
        <v>20</v>
      </c>
    </row>
    <row r="930" spans="1:15">
      <c r="A930">
        <v>23449</v>
      </c>
      <c r="B930" t="s">
        <v>63</v>
      </c>
      <c r="C930" t="s">
        <v>49</v>
      </c>
      <c r="D930" s="1">
        <v>60000</v>
      </c>
      <c r="E930" t="str" cm="1">
        <f t="array" ref="E930">_xlfn.IFS(D930&lt;40000,"Low Income",D930&lt;=80000,"Moderate Income",D930&gt;80000,"High Income")</f>
        <v>Moderate Income</v>
      </c>
      <c r="F930">
        <v>2</v>
      </c>
      <c r="G930" t="s">
        <v>30</v>
      </c>
      <c r="H930" t="s">
        <v>23</v>
      </c>
      <c r="I930" t="s">
        <v>17</v>
      </c>
      <c r="J930">
        <v>2</v>
      </c>
      <c r="K930" t="s">
        <v>26</v>
      </c>
      <c r="L930" t="s">
        <v>35</v>
      </c>
      <c r="M930">
        <v>48</v>
      </c>
      <c r="N930" t="str">
        <f t="shared" si="14"/>
        <v>Middle-Aged</v>
      </c>
      <c r="O930" t="s">
        <v>20</v>
      </c>
    </row>
    <row r="931" spans="1:15">
      <c r="A931">
        <v>23459</v>
      </c>
      <c r="B931" t="s">
        <v>63</v>
      </c>
      <c r="C931" t="s">
        <v>49</v>
      </c>
      <c r="D931" s="1">
        <v>60000</v>
      </c>
      <c r="E931" t="str" cm="1">
        <f t="array" ref="E931">_xlfn.IFS(D931&lt;40000,"Low Income",D931&lt;=80000,"Moderate Income",D931&gt;80000,"High Income")</f>
        <v>Moderate Income</v>
      </c>
      <c r="F931">
        <v>2</v>
      </c>
      <c r="G931" t="s">
        <v>30</v>
      </c>
      <c r="H931" t="s">
        <v>23</v>
      </c>
      <c r="I931" t="s">
        <v>17</v>
      </c>
      <c r="J931">
        <v>2</v>
      </c>
      <c r="K931" t="s">
        <v>26</v>
      </c>
      <c r="L931" t="s">
        <v>35</v>
      </c>
      <c r="M931">
        <v>50</v>
      </c>
      <c r="N931" t="str">
        <f t="shared" si="14"/>
        <v>Middle-Aged</v>
      </c>
      <c r="O931" t="s">
        <v>20</v>
      </c>
    </row>
    <row r="932" spans="1:15">
      <c r="A932">
        <v>19543</v>
      </c>
      <c r="B932" t="s">
        <v>63</v>
      </c>
      <c r="C932" t="s">
        <v>49</v>
      </c>
      <c r="D932" s="1">
        <v>70000</v>
      </c>
      <c r="E932" t="str" cm="1">
        <f t="array" ref="E932">_xlfn.IFS(D932&lt;40000,"Low Income",D932&lt;=80000,"Moderate Income",D932&gt;80000,"High Income")</f>
        <v>Moderate Income</v>
      </c>
      <c r="F932">
        <v>5</v>
      </c>
      <c r="G932" t="s">
        <v>34</v>
      </c>
      <c r="H932" t="s">
        <v>23</v>
      </c>
      <c r="I932" t="s">
        <v>20</v>
      </c>
      <c r="J932">
        <v>3</v>
      </c>
      <c r="K932" t="s">
        <v>61</v>
      </c>
      <c r="L932" t="s">
        <v>35</v>
      </c>
      <c r="M932">
        <v>47</v>
      </c>
      <c r="N932" t="str">
        <f t="shared" si="14"/>
        <v>Middle-Aged</v>
      </c>
      <c r="O932" t="s">
        <v>20</v>
      </c>
    </row>
    <row r="933" spans="1:15">
      <c r="A933">
        <v>14914</v>
      </c>
      <c r="B933" t="s">
        <v>63</v>
      </c>
      <c r="C933" t="s">
        <v>47</v>
      </c>
      <c r="D933" s="1">
        <v>40000</v>
      </c>
      <c r="E933" t="str" cm="1">
        <f t="array" ref="E933">_xlfn.IFS(D933&lt;40000,"Low Income",D933&lt;=80000,"Moderate Income",D933&gt;80000,"High Income")</f>
        <v>Moderate Income</v>
      </c>
      <c r="F933">
        <v>1</v>
      </c>
      <c r="G933" t="s">
        <v>21</v>
      </c>
      <c r="H933" t="s">
        <v>22</v>
      </c>
      <c r="I933" t="s">
        <v>17</v>
      </c>
      <c r="J933">
        <v>1</v>
      </c>
      <c r="K933" t="s">
        <v>29</v>
      </c>
      <c r="L933" t="s">
        <v>35</v>
      </c>
      <c r="M933">
        <v>49</v>
      </c>
      <c r="N933" t="str">
        <f t="shared" si="14"/>
        <v>Middle-Aged</v>
      </c>
      <c r="O933" t="s">
        <v>17</v>
      </c>
    </row>
    <row r="934" spans="1:15">
      <c r="A934">
        <v>12033</v>
      </c>
      <c r="B934" t="s">
        <v>64</v>
      </c>
      <c r="C934" t="s">
        <v>47</v>
      </c>
      <c r="D934" s="1">
        <v>40000</v>
      </c>
      <c r="E934" t="str" cm="1">
        <f t="array" ref="E934">_xlfn.IFS(D934&lt;40000,"Low Income",D934&lt;=80000,"Moderate Income",D934&gt;80000,"High Income")</f>
        <v>Moderate Income</v>
      </c>
      <c r="F934">
        <v>0</v>
      </c>
      <c r="G934" t="s">
        <v>30</v>
      </c>
      <c r="H934" t="s">
        <v>16</v>
      </c>
      <c r="I934" t="s">
        <v>20</v>
      </c>
      <c r="J934">
        <v>2</v>
      </c>
      <c r="K934" t="s">
        <v>18</v>
      </c>
      <c r="L934" t="s">
        <v>35</v>
      </c>
      <c r="M934">
        <v>27</v>
      </c>
      <c r="N934" t="str">
        <f t="shared" si="14"/>
        <v>Young Adults</v>
      </c>
      <c r="O934" t="s">
        <v>17</v>
      </c>
    </row>
    <row r="935" spans="1:15">
      <c r="A935">
        <v>11941</v>
      </c>
      <c r="B935" t="s">
        <v>64</v>
      </c>
      <c r="C935" t="s">
        <v>49</v>
      </c>
      <c r="D935" s="1">
        <v>60000</v>
      </c>
      <c r="E935" t="str" cm="1">
        <f t="array" ref="E935">_xlfn.IFS(D935&lt;40000,"Low Income",D935&lt;=80000,"Moderate Income",D935&gt;80000,"High Income")</f>
        <v>Moderate Income</v>
      </c>
      <c r="F935">
        <v>0</v>
      </c>
      <c r="G935" t="s">
        <v>21</v>
      </c>
      <c r="H935" t="s">
        <v>16</v>
      </c>
      <c r="I935" t="s">
        <v>17</v>
      </c>
      <c r="J935">
        <v>0</v>
      </c>
      <c r="K935" t="s">
        <v>26</v>
      </c>
      <c r="L935" t="s">
        <v>35</v>
      </c>
      <c r="M935">
        <v>29</v>
      </c>
      <c r="N935" t="str">
        <f t="shared" si="14"/>
        <v>Young Adults</v>
      </c>
      <c r="O935" t="s">
        <v>20</v>
      </c>
    </row>
    <row r="936" spans="1:15">
      <c r="A936">
        <v>14389</v>
      </c>
      <c r="B936" t="s">
        <v>63</v>
      </c>
      <c r="C936" t="s">
        <v>49</v>
      </c>
      <c r="D936" s="1">
        <v>60000</v>
      </c>
      <c r="E936" t="str" cm="1">
        <f t="array" ref="E936">_xlfn.IFS(D936&lt;40000,"Low Income",D936&lt;=80000,"Moderate Income",D936&gt;80000,"High Income")</f>
        <v>Moderate Income</v>
      </c>
      <c r="F936">
        <v>2</v>
      </c>
      <c r="G936" t="s">
        <v>15</v>
      </c>
      <c r="H936" t="s">
        <v>31</v>
      </c>
      <c r="I936" t="s">
        <v>17</v>
      </c>
      <c r="J936">
        <v>0</v>
      </c>
      <c r="K936" t="s">
        <v>24</v>
      </c>
      <c r="L936" t="s">
        <v>35</v>
      </c>
      <c r="M936">
        <v>59</v>
      </c>
      <c r="N936" t="str">
        <f t="shared" si="14"/>
        <v>Middle-Aged</v>
      </c>
      <c r="O936" t="s">
        <v>20</v>
      </c>
    </row>
    <row r="937" spans="1:15">
      <c r="A937">
        <v>18050</v>
      </c>
      <c r="B937" t="s">
        <v>63</v>
      </c>
      <c r="C937" t="s">
        <v>47</v>
      </c>
      <c r="D937" s="1">
        <v>60000</v>
      </c>
      <c r="E937" t="str" cm="1">
        <f t="array" ref="E937">_xlfn.IFS(D937&lt;40000,"Low Income",D937&lt;=80000,"Moderate Income",D937&gt;80000,"High Income")</f>
        <v>Moderate Income</v>
      </c>
      <c r="F937">
        <v>1</v>
      </c>
      <c r="G937" t="s">
        <v>21</v>
      </c>
      <c r="H937" t="s">
        <v>16</v>
      </c>
      <c r="I937" t="s">
        <v>17</v>
      </c>
      <c r="J937">
        <v>1</v>
      </c>
      <c r="K937" t="s">
        <v>18</v>
      </c>
      <c r="L937" t="s">
        <v>35</v>
      </c>
      <c r="M937">
        <v>45</v>
      </c>
      <c r="N937" t="str">
        <f t="shared" si="14"/>
        <v>Middle-Aged</v>
      </c>
      <c r="O937" t="s">
        <v>17</v>
      </c>
    </row>
    <row r="938" spans="1:15">
      <c r="A938">
        <v>19856</v>
      </c>
      <c r="B938" t="s">
        <v>63</v>
      </c>
      <c r="C938" t="s">
        <v>47</v>
      </c>
      <c r="D938" s="1">
        <v>60000</v>
      </c>
      <c r="E938" t="str" cm="1">
        <f t="array" ref="E938">_xlfn.IFS(D938&lt;40000,"Low Income",D938&lt;=80000,"Moderate Income",D938&gt;80000,"High Income")</f>
        <v>Moderate Income</v>
      </c>
      <c r="F938">
        <v>4</v>
      </c>
      <c r="G938" t="s">
        <v>15</v>
      </c>
      <c r="H938" t="s">
        <v>31</v>
      </c>
      <c r="I938" t="s">
        <v>17</v>
      </c>
      <c r="J938">
        <v>2</v>
      </c>
      <c r="K938" t="s">
        <v>24</v>
      </c>
      <c r="L938" t="s">
        <v>35</v>
      </c>
      <c r="M938">
        <v>60</v>
      </c>
      <c r="N938" t="str">
        <f t="shared" si="14"/>
        <v>Seniors</v>
      </c>
      <c r="O938" t="s">
        <v>20</v>
      </c>
    </row>
    <row r="939" spans="1:15">
      <c r="A939">
        <v>11663</v>
      </c>
      <c r="B939" t="s">
        <v>63</v>
      </c>
      <c r="C939" t="s">
        <v>49</v>
      </c>
      <c r="D939" s="1">
        <v>70000</v>
      </c>
      <c r="E939" t="str" cm="1">
        <f t="array" ref="E939">_xlfn.IFS(D939&lt;40000,"Low Income",D939&lt;=80000,"Moderate Income",D939&gt;80000,"High Income")</f>
        <v>Moderate Income</v>
      </c>
      <c r="F939">
        <v>4</v>
      </c>
      <c r="G939" t="s">
        <v>34</v>
      </c>
      <c r="H939" t="s">
        <v>23</v>
      </c>
      <c r="I939" t="s">
        <v>17</v>
      </c>
      <c r="J939">
        <v>0</v>
      </c>
      <c r="K939" t="s">
        <v>18</v>
      </c>
      <c r="L939" t="s">
        <v>35</v>
      </c>
      <c r="M939">
        <v>36</v>
      </c>
      <c r="N939" t="str">
        <f t="shared" si="14"/>
        <v>Middle-Aged</v>
      </c>
      <c r="O939" t="s">
        <v>17</v>
      </c>
    </row>
    <row r="940" spans="1:15">
      <c r="A940">
        <v>27740</v>
      </c>
      <c r="B940" t="s">
        <v>63</v>
      </c>
      <c r="C940" t="s">
        <v>47</v>
      </c>
      <c r="D940" s="1">
        <v>40000</v>
      </c>
      <c r="E940" t="str" cm="1">
        <f t="array" ref="E940">_xlfn.IFS(D940&lt;40000,"Low Income",D940&lt;=80000,"Moderate Income",D940&gt;80000,"High Income")</f>
        <v>Moderate Income</v>
      </c>
      <c r="F940">
        <v>0</v>
      </c>
      <c r="G940" t="s">
        <v>30</v>
      </c>
      <c r="H940" t="s">
        <v>16</v>
      </c>
      <c r="I940" t="s">
        <v>17</v>
      </c>
      <c r="J940">
        <v>2</v>
      </c>
      <c r="K940" t="s">
        <v>26</v>
      </c>
      <c r="L940" t="s">
        <v>35</v>
      </c>
      <c r="M940">
        <v>27</v>
      </c>
      <c r="N940" t="str">
        <f t="shared" si="14"/>
        <v>Young Adults</v>
      </c>
      <c r="O940" t="s">
        <v>20</v>
      </c>
    </row>
    <row r="941" spans="1:15">
      <c r="A941">
        <v>23455</v>
      </c>
      <c r="B941" t="s">
        <v>64</v>
      </c>
      <c r="C941" t="s">
        <v>49</v>
      </c>
      <c r="D941" s="1">
        <v>80000</v>
      </c>
      <c r="E941" t="str" cm="1">
        <f t="array" ref="E941">_xlfn.IFS(D941&lt;40000,"Low Income",D941&lt;=80000,"Moderate Income",D941&gt;80000,"High Income")</f>
        <v>Moderate Income</v>
      </c>
      <c r="F941">
        <v>2</v>
      </c>
      <c r="G941" t="s">
        <v>32</v>
      </c>
      <c r="H941" t="s">
        <v>16</v>
      </c>
      <c r="I941" t="s">
        <v>20</v>
      </c>
      <c r="J941">
        <v>2</v>
      </c>
      <c r="K941" t="s">
        <v>29</v>
      </c>
      <c r="L941" t="s">
        <v>35</v>
      </c>
      <c r="M941">
        <v>50</v>
      </c>
      <c r="N941" t="str">
        <f t="shared" si="14"/>
        <v>Middle-Aged</v>
      </c>
      <c r="O941" t="s">
        <v>20</v>
      </c>
    </row>
    <row r="942" spans="1:15">
      <c r="A942">
        <v>15292</v>
      </c>
      <c r="B942" t="s">
        <v>64</v>
      </c>
      <c r="C942" t="s">
        <v>47</v>
      </c>
      <c r="D942" s="1">
        <v>60000</v>
      </c>
      <c r="E942" t="str" cm="1">
        <f t="array" ref="E942">_xlfn.IFS(D942&lt;40000,"Low Income",D942&lt;=80000,"Moderate Income",D942&gt;80000,"High Income")</f>
        <v>Moderate Income</v>
      </c>
      <c r="F942">
        <v>1</v>
      </c>
      <c r="G942" t="s">
        <v>34</v>
      </c>
      <c r="H942" t="s">
        <v>16</v>
      </c>
      <c r="I942" t="s">
        <v>17</v>
      </c>
      <c r="J942">
        <v>0</v>
      </c>
      <c r="K942" t="s">
        <v>29</v>
      </c>
      <c r="L942" t="s">
        <v>35</v>
      </c>
      <c r="M942">
        <v>35</v>
      </c>
      <c r="N942" t="str">
        <f t="shared" si="14"/>
        <v>Middle-Aged</v>
      </c>
      <c r="O942" t="s">
        <v>20</v>
      </c>
    </row>
    <row r="943" spans="1:15">
      <c r="A943">
        <v>21587</v>
      </c>
      <c r="B943" t="s">
        <v>63</v>
      </c>
      <c r="C943" t="s">
        <v>47</v>
      </c>
      <c r="D943" s="1">
        <v>60000</v>
      </c>
      <c r="E943" t="str" cm="1">
        <f t="array" ref="E943">_xlfn.IFS(D943&lt;40000,"Low Income",D943&lt;=80000,"Moderate Income",D943&gt;80000,"High Income")</f>
        <v>Moderate Income</v>
      </c>
      <c r="F943">
        <v>1</v>
      </c>
      <c r="G943" t="s">
        <v>34</v>
      </c>
      <c r="H943" t="s">
        <v>16</v>
      </c>
      <c r="I943" t="s">
        <v>17</v>
      </c>
      <c r="J943">
        <v>0</v>
      </c>
      <c r="K943" t="s">
        <v>24</v>
      </c>
      <c r="L943" t="s">
        <v>35</v>
      </c>
      <c r="M943">
        <v>34</v>
      </c>
      <c r="N943" t="str">
        <f t="shared" si="14"/>
        <v>Middle-Aged</v>
      </c>
      <c r="O943" t="s">
        <v>17</v>
      </c>
    </row>
    <row r="944" spans="1:15">
      <c r="A944">
        <v>23513</v>
      </c>
      <c r="B944" t="s">
        <v>63</v>
      </c>
      <c r="C944" t="s">
        <v>47</v>
      </c>
      <c r="D944" s="1">
        <v>40000</v>
      </c>
      <c r="E944" t="str" cm="1">
        <f t="array" ref="E944">_xlfn.IFS(D944&lt;40000,"Low Income",D944&lt;=80000,"Moderate Income",D944&gt;80000,"High Income")</f>
        <v>Moderate Income</v>
      </c>
      <c r="F944">
        <v>3</v>
      </c>
      <c r="G944" t="s">
        <v>21</v>
      </c>
      <c r="H944" t="s">
        <v>23</v>
      </c>
      <c r="I944" t="s">
        <v>17</v>
      </c>
      <c r="J944">
        <v>2</v>
      </c>
      <c r="K944" t="s">
        <v>26</v>
      </c>
      <c r="L944" t="s">
        <v>35</v>
      </c>
      <c r="M944">
        <v>54</v>
      </c>
      <c r="N944" t="str">
        <f t="shared" si="14"/>
        <v>Middle-Aged</v>
      </c>
      <c r="O944" t="s">
        <v>20</v>
      </c>
    </row>
    <row r="945" spans="1:15">
      <c r="A945">
        <v>24322</v>
      </c>
      <c r="B945" t="s">
        <v>63</v>
      </c>
      <c r="C945" t="s">
        <v>47</v>
      </c>
      <c r="D945" s="1">
        <v>60000</v>
      </c>
      <c r="E945" t="str" cm="1">
        <f t="array" ref="E945">_xlfn.IFS(D945&lt;40000,"Low Income",D945&lt;=80000,"Moderate Income",D945&gt;80000,"High Income")</f>
        <v>Moderate Income</v>
      </c>
      <c r="F945">
        <v>4</v>
      </c>
      <c r="G945" t="s">
        <v>15</v>
      </c>
      <c r="H945" t="s">
        <v>16</v>
      </c>
      <c r="I945" t="s">
        <v>20</v>
      </c>
      <c r="J945">
        <v>2</v>
      </c>
      <c r="K945" t="s">
        <v>18</v>
      </c>
      <c r="L945" t="s">
        <v>35</v>
      </c>
      <c r="M945">
        <v>42</v>
      </c>
      <c r="N945" t="str">
        <f t="shared" si="14"/>
        <v>Middle-Aged</v>
      </c>
      <c r="O945" t="s">
        <v>20</v>
      </c>
    </row>
    <row r="946" spans="1:15">
      <c r="A946">
        <v>26298</v>
      </c>
      <c r="B946" t="s">
        <v>63</v>
      </c>
      <c r="C946" t="s">
        <v>47</v>
      </c>
      <c r="D946" s="1">
        <v>50000</v>
      </c>
      <c r="E946" t="str" cm="1">
        <f t="array" ref="E946">_xlfn.IFS(D946&lt;40000,"Low Income",D946&lt;=80000,"Moderate Income",D946&gt;80000,"High Income")</f>
        <v>Moderate Income</v>
      </c>
      <c r="F946">
        <v>1</v>
      </c>
      <c r="G946" t="s">
        <v>15</v>
      </c>
      <c r="H946" t="s">
        <v>16</v>
      </c>
      <c r="I946" t="s">
        <v>17</v>
      </c>
      <c r="J946">
        <v>0</v>
      </c>
      <c r="K946" t="s">
        <v>24</v>
      </c>
      <c r="L946" t="s">
        <v>35</v>
      </c>
      <c r="M946">
        <v>34</v>
      </c>
      <c r="N946" t="str">
        <f t="shared" si="14"/>
        <v>Middle-Aged</v>
      </c>
      <c r="O946" t="s">
        <v>17</v>
      </c>
    </row>
    <row r="947" spans="1:15">
      <c r="A947">
        <v>25419</v>
      </c>
      <c r="B947" t="s">
        <v>64</v>
      </c>
      <c r="C947" t="s">
        <v>49</v>
      </c>
      <c r="D947" s="1">
        <v>50000</v>
      </c>
      <c r="E947" t="str" cm="1">
        <f t="array" ref="E947">_xlfn.IFS(D947&lt;40000,"Low Income",D947&lt;=80000,"Moderate Income",D947&gt;80000,"High Income")</f>
        <v>Moderate Income</v>
      </c>
      <c r="F947">
        <v>2</v>
      </c>
      <c r="G947" t="s">
        <v>15</v>
      </c>
      <c r="H947" t="s">
        <v>16</v>
      </c>
      <c r="I947" t="s">
        <v>20</v>
      </c>
      <c r="J947">
        <v>1</v>
      </c>
      <c r="K947" t="s">
        <v>18</v>
      </c>
      <c r="L947" t="s">
        <v>35</v>
      </c>
      <c r="M947">
        <v>38</v>
      </c>
      <c r="N947" t="str">
        <f t="shared" si="14"/>
        <v>Middle-Aged</v>
      </c>
      <c r="O947" t="s">
        <v>17</v>
      </c>
    </row>
    <row r="948" spans="1:15">
      <c r="A948">
        <v>13343</v>
      </c>
      <c r="B948" t="s">
        <v>63</v>
      </c>
      <c r="C948" t="s">
        <v>47</v>
      </c>
      <c r="D948" s="1">
        <v>90000</v>
      </c>
      <c r="E948" t="str" cm="1">
        <f t="array" ref="E948">_xlfn.IFS(D948&lt;40000,"Low Income",D948&lt;=80000,"Moderate Income",D948&gt;80000,"High Income")</f>
        <v>High Income</v>
      </c>
      <c r="F948">
        <v>5</v>
      </c>
      <c r="G948" t="s">
        <v>15</v>
      </c>
      <c r="H948" t="s">
        <v>31</v>
      </c>
      <c r="I948" t="s">
        <v>17</v>
      </c>
      <c r="J948">
        <v>2</v>
      </c>
      <c r="K948" t="s">
        <v>29</v>
      </c>
      <c r="L948" t="s">
        <v>35</v>
      </c>
      <c r="M948">
        <v>63</v>
      </c>
      <c r="N948" t="str">
        <f t="shared" si="14"/>
        <v>Seniors</v>
      </c>
      <c r="O948" t="s">
        <v>17</v>
      </c>
    </row>
    <row r="949" spans="1:15">
      <c r="A949">
        <v>11303</v>
      </c>
      <c r="B949" t="s">
        <v>64</v>
      </c>
      <c r="C949" t="s">
        <v>47</v>
      </c>
      <c r="D949" s="1">
        <v>90000</v>
      </c>
      <c r="E949" t="str" cm="1">
        <f t="array" ref="E949">_xlfn.IFS(D949&lt;40000,"Low Income",D949&lt;=80000,"Moderate Income",D949&gt;80000,"High Income")</f>
        <v>High Income</v>
      </c>
      <c r="F949">
        <v>4</v>
      </c>
      <c r="G949" t="s">
        <v>30</v>
      </c>
      <c r="H949" t="s">
        <v>23</v>
      </c>
      <c r="I949" t="s">
        <v>20</v>
      </c>
      <c r="J949">
        <v>3</v>
      </c>
      <c r="K949" t="s">
        <v>29</v>
      </c>
      <c r="L949" t="s">
        <v>35</v>
      </c>
      <c r="M949">
        <v>45</v>
      </c>
      <c r="N949" t="str">
        <f t="shared" si="14"/>
        <v>Middle-Aged</v>
      </c>
      <c r="O949" t="s">
        <v>17</v>
      </c>
    </row>
    <row r="950" spans="1:15">
      <c r="A950">
        <v>21693</v>
      </c>
      <c r="B950" t="s">
        <v>64</v>
      </c>
      <c r="C950" t="s">
        <v>47</v>
      </c>
      <c r="D950" s="1">
        <v>60000</v>
      </c>
      <c r="E950" t="str" cm="1">
        <f t="array" ref="E950">_xlfn.IFS(D950&lt;40000,"Low Income",D950&lt;=80000,"Moderate Income",D950&gt;80000,"High Income")</f>
        <v>Moderate Income</v>
      </c>
      <c r="F950">
        <v>0</v>
      </c>
      <c r="G950" t="s">
        <v>34</v>
      </c>
      <c r="H950" t="s">
        <v>16</v>
      </c>
      <c r="I950" t="s">
        <v>20</v>
      </c>
      <c r="J950">
        <v>0</v>
      </c>
      <c r="K950" t="s">
        <v>18</v>
      </c>
      <c r="L950" t="s">
        <v>35</v>
      </c>
      <c r="M950">
        <v>40</v>
      </c>
      <c r="N950" t="str">
        <f t="shared" si="14"/>
        <v>Middle-Aged</v>
      </c>
      <c r="O950" t="s">
        <v>20</v>
      </c>
    </row>
    <row r="951" spans="1:15">
      <c r="A951">
        <v>28056</v>
      </c>
      <c r="B951" t="s">
        <v>63</v>
      </c>
      <c r="C951" t="s">
        <v>49</v>
      </c>
      <c r="D951" s="1">
        <v>70000</v>
      </c>
      <c r="E951" t="str" cm="1">
        <f t="array" ref="E951">_xlfn.IFS(D951&lt;40000,"Low Income",D951&lt;=80000,"Moderate Income",D951&gt;80000,"High Income")</f>
        <v>Moderate Income</v>
      </c>
      <c r="F951">
        <v>2</v>
      </c>
      <c r="G951" t="s">
        <v>32</v>
      </c>
      <c r="H951" t="s">
        <v>16</v>
      </c>
      <c r="I951" t="s">
        <v>17</v>
      </c>
      <c r="J951">
        <v>2</v>
      </c>
      <c r="K951" t="s">
        <v>61</v>
      </c>
      <c r="L951" t="s">
        <v>35</v>
      </c>
      <c r="M951">
        <v>53</v>
      </c>
      <c r="N951" t="str">
        <f t="shared" si="14"/>
        <v>Middle-Aged</v>
      </c>
      <c r="O951" t="s">
        <v>20</v>
      </c>
    </row>
    <row r="952" spans="1:15">
      <c r="A952">
        <v>11788</v>
      </c>
      <c r="B952" t="s">
        <v>64</v>
      </c>
      <c r="C952" t="s">
        <v>47</v>
      </c>
      <c r="D952" s="1">
        <v>70000</v>
      </c>
      <c r="E952" t="str" cm="1">
        <f t="array" ref="E952">_xlfn.IFS(D952&lt;40000,"Low Income",D952&lt;=80000,"Moderate Income",D952&gt;80000,"High Income")</f>
        <v>Moderate Income</v>
      </c>
      <c r="F952">
        <v>1</v>
      </c>
      <c r="G952" t="s">
        <v>34</v>
      </c>
      <c r="H952" t="s">
        <v>23</v>
      </c>
      <c r="I952" t="s">
        <v>17</v>
      </c>
      <c r="J952">
        <v>0</v>
      </c>
      <c r="K952" t="s">
        <v>24</v>
      </c>
      <c r="L952" t="s">
        <v>35</v>
      </c>
      <c r="M952">
        <v>34</v>
      </c>
      <c r="N952" t="str">
        <f t="shared" si="14"/>
        <v>Middle-Aged</v>
      </c>
      <c r="O952" t="s">
        <v>20</v>
      </c>
    </row>
    <row r="953" spans="1:15">
      <c r="A953">
        <v>22296</v>
      </c>
      <c r="B953" t="s">
        <v>63</v>
      </c>
      <c r="C953" t="s">
        <v>49</v>
      </c>
      <c r="D953" s="1">
        <v>70000</v>
      </c>
      <c r="E953" t="str" cm="1">
        <f t="array" ref="E953">_xlfn.IFS(D953&lt;40000,"Low Income",D953&lt;=80000,"Moderate Income",D953&gt;80000,"High Income")</f>
        <v>Moderate Income</v>
      </c>
      <c r="F953">
        <v>0</v>
      </c>
      <c r="G953" t="s">
        <v>15</v>
      </c>
      <c r="H953" t="s">
        <v>23</v>
      </c>
      <c r="I953" t="s">
        <v>20</v>
      </c>
      <c r="J953">
        <v>1</v>
      </c>
      <c r="K953" t="s">
        <v>18</v>
      </c>
      <c r="L953" t="s">
        <v>35</v>
      </c>
      <c r="M953">
        <v>38</v>
      </c>
      <c r="N953" t="str">
        <f t="shared" si="14"/>
        <v>Middle-Aged</v>
      </c>
      <c r="O953" t="s">
        <v>20</v>
      </c>
    </row>
    <row r="954" spans="1:15">
      <c r="A954">
        <v>15319</v>
      </c>
      <c r="B954" t="s">
        <v>63</v>
      </c>
      <c r="C954" t="s">
        <v>47</v>
      </c>
      <c r="D954" s="1">
        <v>70000</v>
      </c>
      <c r="E954" t="str" cm="1">
        <f t="array" ref="E954">_xlfn.IFS(D954&lt;40000,"Low Income",D954&lt;=80000,"Moderate Income",D954&gt;80000,"High Income")</f>
        <v>Moderate Income</v>
      </c>
      <c r="F954">
        <v>4</v>
      </c>
      <c r="G954" t="s">
        <v>15</v>
      </c>
      <c r="H954" t="s">
        <v>31</v>
      </c>
      <c r="I954" t="s">
        <v>20</v>
      </c>
      <c r="J954">
        <v>1</v>
      </c>
      <c r="K954" t="s">
        <v>29</v>
      </c>
      <c r="L954" t="s">
        <v>35</v>
      </c>
      <c r="M954">
        <v>59</v>
      </c>
      <c r="N954" t="str">
        <f t="shared" si="14"/>
        <v>Middle-Aged</v>
      </c>
      <c r="O954" t="s">
        <v>20</v>
      </c>
    </row>
    <row r="955" spans="1:15">
      <c r="A955">
        <v>17654</v>
      </c>
      <c r="B955" t="s">
        <v>64</v>
      </c>
      <c r="C955" t="s">
        <v>47</v>
      </c>
      <c r="D955" s="1">
        <v>40000</v>
      </c>
      <c r="E955" t="str" cm="1">
        <f t="array" ref="E955">_xlfn.IFS(D955&lt;40000,"Low Income",D955&lt;=80000,"Moderate Income",D955&gt;80000,"High Income")</f>
        <v>Moderate Income</v>
      </c>
      <c r="F955">
        <v>3</v>
      </c>
      <c r="G955" t="s">
        <v>21</v>
      </c>
      <c r="H955" t="s">
        <v>22</v>
      </c>
      <c r="I955" t="s">
        <v>17</v>
      </c>
      <c r="J955">
        <v>1</v>
      </c>
      <c r="K955" t="s">
        <v>29</v>
      </c>
      <c r="L955" t="s">
        <v>35</v>
      </c>
      <c r="M955">
        <v>30</v>
      </c>
      <c r="N955" t="str">
        <f t="shared" si="14"/>
        <v>Young Adults</v>
      </c>
      <c r="O955" t="s">
        <v>17</v>
      </c>
    </row>
    <row r="956" spans="1:15">
      <c r="A956">
        <v>14662</v>
      </c>
      <c r="B956" t="s">
        <v>63</v>
      </c>
      <c r="C956" t="s">
        <v>49</v>
      </c>
      <c r="D956" s="1">
        <v>60000</v>
      </c>
      <c r="E956" t="str" cm="1">
        <f t="array" ref="E956">_xlfn.IFS(D956&lt;40000,"Low Income",D956&lt;=80000,"Moderate Income",D956&gt;80000,"High Income")</f>
        <v>Moderate Income</v>
      </c>
      <c r="F956">
        <v>1</v>
      </c>
      <c r="G956" t="s">
        <v>15</v>
      </c>
      <c r="H956" t="s">
        <v>23</v>
      </c>
      <c r="I956" t="s">
        <v>17</v>
      </c>
      <c r="J956">
        <v>1</v>
      </c>
      <c r="K956" t="s">
        <v>18</v>
      </c>
      <c r="L956" t="s">
        <v>35</v>
      </c>
      <c r="M956">
        <v>48</v>
      </c>
      <c r="N956" t="str">
        <f t="shared" si="14"/>
        <v>Middle-Aged</v>
      </c>
      <c r="O956" t="s">
        <v>17</v>
      </c>
    </row>
    <row r="957" spans="1:15">
      <c r="A957">
        <v>17541</v>
      </c>
      <c r="B957" t="s">
        <v>63</v>
      </c>
      <c r="C957" t="s">
        <v>47</v>
      </c>
      <c r="D957" s="1">
        <v>40000</v>
      </c>
      <c r="E957" t="str" cm="1">
        <f t="array" ref="E957">_xlfn.IFS(D957&lt;40000,"Low Income",D957&lt;=80000,"Moderate Income",D957&gt;80000,"High Income")</f>
        <v>Moderate Income</v>
      </c>
      <c r="F957">
        <v>4</v>
      </c>
      <c r="G957" t="s">
        <v>30</v>
      </c>
      <c r="H957" t="s">
        <v>16</v>
      </c>
      <c r="I957" t="s">
        <v>17</v>
      </c>
      <c r="J957">
        <v>2</v>
      </c>
      <c r="K957" t="s">
        <v>24</v>
      </c>
      <c r="L957" t="s">
        <v>35</v>
      </c>
      <c r="M957">
        <v>43</v>
      </c>
      <c r="N957" t="str">
        <f t="shared" si="14"/>
        <v>Middle-Aged</v>
      </c>
      <c r="O957" t="s">
        <v>20</v>
      </c>
    </row>
    <row r="958" spans="1:15">
      <c r="A958">
        <v>13886</v>
      </c>
      <c r="B958" t="s">
        <v>63</v>
      </c>
      <c r="C958" t="s">
        <v>47</v>
      </c>
      <c r="D958" s="1">
        <v>70000</v>
      </c>
      <c r="E958" t="str" cm="1">
        <f t="array" ref="E958">_xlfn.IFS(D958&lt;40000,"Low Income",D958&lt;=80000,"Moderate Income",D958&gt;80000,"High Income")</f>
        <v>Moderate Income</v>
      </c>
      <c r="F958">
        <v>4</v>
      </c>
      <c r="G958" t="s">
        <v>34</v>
      </c>
      <c r="H958" t="s">
        <v>23</v>
      </c>
      <c r="I958" t="s">
        <v>17</v>
      </c>
      <c r="J958">
        <v>0</v>
      </c>
      <c r="K958" t="s">
        <v>24</v>
      </c>
      <c r="L958" t="s">
        <v>35</v>
      </c>
      <c r="M958">
        <v>35</v>
      </c>
      <c r="N958" t="str">
        <f t="shared" si="14"/>
        <v>Middle-Aged</v>
      </c>
      <c r="O958" t="s">
        <v>17</v>
      </c>
    </row>
    <row r="959" spans="1:15">
      <c r="A959">
        <v>13073</v>
      </c>
      <c r="B959" t="s">
        <v>63</v>
      </c>
      <c r="C959" t="s">
        <v>47</v>
      </c>
      <c r="D959" s="1">
        <v>60000</v>
      </c>
      <c r="E959" t="str" cm="1">
        <f t="array" ref="E959">_xlfn.IFS(D959&lt;40000,"Low Income",D959&lt;=80000,"Moderate Income",D959&gt;80000,"High Income")</f>
        <v>Moderate Income</v>
      </c>
      <c r="F959">
        <v>0</v>
      </c>
      <c r="G959" t="s">
        <v>21</v>
      </c>
      <c r="H959" t="s">
        <v>23</v>
      </c>
      <c r="I959" t="s">
        <v>17</v>
      </c>
      <c r="J959">
        <v>2</v>
      </c>
      <c r="K959" t="s">
        <v>26</v>
      </c>
      <c r="L959" t="s">
        <v>35</v>
      </c>
      <c r="M959">
        <v>30</v>
      </c>
      <c r="N959" t="str">
        <f t="shared" si="14"/>
        <v>Young Adults</v>
      </c>
      <c r="O959" t="s">
        <v>20</v>
      </c>
    </row>
    <row r="960" spans="1:15">
      <c r="A960">
        <v>21940</v>
      </c>
      <c r="B960" t="s">
        <v>63</v>
      </c>
      <c r="C960" t="s">
        <v>49</v>
      </c>
      <c r="D960" s="1">
        <v>90000</v>
      </c>
      <c r="E960" t="str" cm="1">
        <f t="array" ref="E960">_xlfn.IFS(D960&lt;40000,"Low Income",D960&lt;=80000,"Moderate Income",D960&gt;80000,"High Income")</f>
        <v>High Income</v>
      </c>
      <c r="F960">
        <v>5</v>
      </c>
      <c r="G960" t="s">
        <v>34</v>
      </c>
      <c r="H960" t="s">
        <v>23</v>
      </c>
      <c r="I960" t="s">
        <v>17</v>
      </c>
      <c r="J960">
        <v>0</v>
      </c>
      <c r="K960" t="s">
        <v>18</v>
      </c>
      <c r="L960" t="s">
        <v>35</v>
      </c>
      <c r="M960">
        <v>47</v>
      </c>
      <c r="N960" t="str">
        <f t="shared" si="14"/>
        <v>Middle-Aged</v>
      </c>
      <c r="O960" t="s">
        <v>17</v>
      </c>
    </row>
    <row r="961" spans="1:15">
      <c r="A961">
        <v>20196</v>
      </c>
      <c r="B961" t="s">
        <v>63</v>
      </c>
      <c r="C961" t="s">
        <v>49</v>
      </c>
      <c r="D961" s="1">
        <v>60000</v>
      </c>
      <c r="E961" t="str" cm="1">
        <f t="array" ref="E961">_xlfn.IFS(D961&lt;40000,"Low Income",D961&lt;=80000,"Moderate Income",D961&gt;80000,"High Income")</f>
        <v>Moderate Income</v>
      </c>
      <c r="F961">
        <v>1</v>
      </c>
      <c r="G961" t="s">
        <v>21</v>
      </c>
      <c r="H961" t="s">
        <v>16</v>
      </c>
      <c r="I961" t="s">
        <v>17</v>
      </c>
      <c r="J961">
        <v>1</v>
      </c>
      <c r="K961" t="s">
        <v>24</v>
      </c>
      <c r="L961" t="s">
        <v>35</v>
      </c>
      <c r="M961">
        <v>45</v>
      </c>
      <c r="N961" t="str">
        <f t="shared" si="14"/>
        <v>Middle-Aged</v>
      </c>
      <c r="O961" t="s">
        <v>17</v>
      </c>
    </row>
    <row r="962" spans="1:15">
      <c r="A962">
        <v>23491</v>
      </c>
      <c r="B962" t="s">
        <v>64</v>
      </c>
      <c r="C962" t="s">
        <v>49</v>
      </c>
      <c r="D962" s="1">
        <v>100000</v>
      </c>
      <c r="E962" t="str" cm="1">
        <f t="array" ref="E962">_xlfn.IFS(D962&lt;40000,"Low Income",D962&lt;=80000,"Moderate Income",D962&gt;80000,"High Income")</f>
        <v>High Income</v>
      </c>
      <c r="F962">
        <v>0</v>
      </c>
      <c r="G962" t="s">
        <v>21</v>
      </c>
      <c r="H962" t="s">
        <v>23</v>
      </c>
      <c r="I962" t="s">
        <v>20</v>
      </c>
      <c r="J962">
        <v>4</v>
      </c>
      <c r="K962" t="s">
        <v>29</v>
      </c>
      <c r="L962" t="s">
        <v>35</v>
      </c>
      <c r="M962">
        <v>45</v>
      </c>
      <c r="N962" t="str">
        <f t="shared" si="14"/>
        <v>Middle-Aged</v>
      </c>
      <c r="O962" t="s">
        <v>20</v>
      </c>
    </row>
    <row r="963" spans="1:15">
      <c r="A963">
        <v>16651</v>
      </c>
      <c r="B963" t="s">
        <v>63</v>
      </c>
      <c r="C963" t="s">
        <v>47</v>
      </c>
      <c r="D963" s="1">
        <v>120000</v>
      </c>
      <c r="E963" t="str" cm="1">
        <f t="array" ref="E963">_xlfn.IFS(D963&lt;40000,"Low Income",D963&lt;=80000,"Moderate Income",D963&gt;80000,"High Income")</f>
        <v>High Income</v>
      </c>
      <c r="F963">
        <v>2</v>
      </c>
      <c r="G963" t="s">
        <v>15</v>
      </c>
      <c r="H963" t="s">
        <v>31</v>
      </c>
      <c r="I963" t="s">
        <v>17</v>
      </c>
      <c r="J963">
        <v>3</v>
      </c>
      <c r="K963" t="s">
        <v>26</v>
      </c>
      <c r="L963" t="s">
        <v>35</v>
      </c>
      <c r="M963">
        <v>62</v>
      </c>
      <c r="N963" t="str">
        <f t="shared" ref="N963:N1026" si="15">IF(M963&gt;=60,"Seniors",IF(M963&gt;30,"Middle-Aged",IF(M963&lt;=30,"Young Adults")))</f>
        <v>Seniors</v>
      </c>
      <c r="O963" t="s">
        <v>20</v>
      </c>
    </row>
    <row r="964" spans="1:15">
      <c r="A964">
        <v>16813</v>
      </c>
      <c r="B964" t="s">
        <v>63</v>
      </c>
      <c r="C964" t="s">
        <v>49</v>
      </c>
      <c r="D964" s="1">
        <v>60000</v>
      </c>
      <c r="E964" t="str" cm="1">
        <f t="array" ref="E964">_xlfn.IFS(D964&lt;40000,"Low Income",D964&lt;=80000,"Moderate Income",D964&gt;80000,"High Income")</f>
        <v>Moderate Income</v>
      </c>
      <c r="F964">
        <v>2</v>
      </c>
      <c r="G964" t="s">
        <v>21</v>
      </c>
      <c r="H964" t="s">
        <v>23</v>
      </c>
      <c r="I964" t="s">
        <v>17</v>
      </c>
      <c r="J964">
        <v>2</v>
      </c>
      <c r="K964" t="s">
        <v>61</v>
      </c>
      <c r="L964" t="s">
        <v>35</v>
      </c>
      <c r="M964">
        <v>55</v>
      </c>
      <c r="N964" t="str">
        <f t="shared" si="15"/>
        <v>Middle-Aged</v>
      </c>
      <c r="O964" t="s">
        <v>20</v>
      </c>
    </row>
    <row r="965" spans="1:15">
      <c r="A965">
        <v>16007</v>
      </c>
      <c r="B965" t="s">
        <v>63</v>
      </c>
      <c r="C965" t="s">
        <v>47</v>
      </c>
      <c r="D965" s="1">
        <v>90000</v>
      </c>
      <c r="E965" t="str" cm="1">
        <f t="array" ref="E965">_xlfn.IFS(D965&lt;40000,"Low Income",D965&lt;=80000,"Moderate Income",D965&gt;80000,"High Income")</f>
        <v>High Income</v>
      </c>
      <c r="F965">
        <v>5</v>
      </c>
      <c r="G965" t="s">
        <v>15</v>
      </c>
      <c r="H965" t="s">
        <v>31</v>
      </c>
      <c r="I965" t="s">
        <v>17</v>
      </c>
      <c r="J965">
        <v>2</v>
      </c>
      <c r="K965" t="s">
        <v>29</v>
      </c>
      <c r="L965" t="s">
        <v>35</v>
      </c>
      <c r="M965">
        <v>66</v>
      </c>
      <c r="N965" t="str">
        <f t="shared" si="15"/>
        <v>Seniors</v>
      </c>
      <c r="O965" t="s">
        <v>17</v>
      </c>
    </row>
    <row r="966" spans="1:15">
      <c r="A966">
        <v>27434</v>
      </c>
      <c r="B966" t="s">
        <v>64</v>
      </c>
      <c r="C966" t="s">
        <v>49</v>
      </c>
      <c r="D966" s="1">
        <v>70000</v>
      </c>
      <c r="E966" t="str" cm="1">
        <f t="array" ref="E966">_xlfn.IFS(D966&lt;40000,"Low Income",D966&lt;=80000,"Moderate Income",D966&gt;80000,"High Income")</f>
        <v>Moderate Income</v>
      </c>
      <c r="F966">
        <v>4</v>
      </c>
      <c r="G966" t="s">
        <v>21</v>
      </c>
      <c r="H966" t="s">
        <v>23</v>
      </c>
      <c r="I966" t="s">
        <v>17</v>
      </c>
      <c r="J966">
        <v>1</v>
      </c>
      <c r="K966" t="s">
        <v>61</v>
      </c>
      <c r="L966" t="s">
        <v>35</v>
      </c>
      <c r="M966">
        <v>56</v>
      </c>
      <c r="N966" t="str">
        <f t="shared" si="15"/>
        <v>Middle-Aged</v>
      </c>
      <c r="O966" t="s">
        <v>20</v>
      </c>
    </row>
    <row r="967" spans="1:15">
      <c r="A967">
        <v>27756</v>
      </c>
      <c r="B967" t="s">
        <v>64</v>
      </c>
      <c r="C967" t="s">
        <v>47</v>
      </c>
      <c r="D967" s="1">
        <v>50000</v>
      </c>
      <c r="E967" t="str" cm="1">
        <f t="array" ref="E967">_xlfn.IFS(D967&lt;40000,"Low Income",D967&lt;=80000,"Moderate Income",D967&gt;80000,"High Income")</f>
        <v>Moderate Income</v>
      </c>
      <c r="F967">
        <v>3</v>
      </c>
      <c r="G967" t="s">
        <v>15</v>
      </c>
      <c r="H967" t="s">
        <v>16</v>
      </c>
      <c r="I967" t="s">
        <v>20</v>
      </c>
      <c r="J967">
        <v>1</v>
      </c>
      <c r="K967" t="s">
        <v>18</v>
      </c>
      <c r="L967" t="s">
        <v>35</v>
      </c>
      <c r="M967">
        <v>40</v>
      </c>
      <c r="N967" t="str">
        <f t="shared" si="15"/>
        <v>Middle-Aged</v>
      </c>
      <c r="O967" t="s">
        <v>20</v>
      </c>
    </row>
    <row r="968" spans="1:15">
      <c r="A968">
        <v>23818</v>
      </c>
      <c r="B968" t="s">
        <v>63</v>
      </c>
      <c r="C968" t="s">
        <v>47</v>
      </c>
      <c r="D968" s="1">
        <v>50000</v>
      </c>
      <c r="E968" t="str" cm="1">
        <f t="array" ref="E968">_xlfn.IFS(D968&lt;40000,"Low Income",D968&lt;=80000,"Moderate Income",D968&gt;80000,"High Income")</f>
        <v>Moderate Income</v>
      </c>
      <c r="F968">
        <v>0</v>
      </c>
      <c r="G968" t="s">
        <v>34</v>
      </c>
      <c r="H968" t="s">
        <v>16</v>
      </c>
      <c r="I968" t="s">
        <v>17</v>
      </c>
      <c r="J968">
        <v>0</v>
      </c>
      <c r="K968" t="s">
        <v>29</v>
      </c>
      <c r="L968" t="s">
        <v>35</v>
      </c>
      <c r="M968">
        <v>33</v>
      </c>
      <c r="N968" t="str">
        <f t="shared" si="15"/>
        <v>Middle-Aged</v>
      </c>
      <c r="O968" t="s">
        <v>17</v>
      </c>
    </row>
    <row r="969" spans="1:15">
      <c r="A969">
        <v>19012</v>
      </c>
      <c r="B969" t="s">
        <v>63</v>
      </c>
      <c r="C969" t="s">
        <v>49</v>
      </c>
      <c r="D969" s="1">
        <v>80000</v>
      </c>
      <c r="E969" t="str" cm="1">
        <f t="array" ref="E969">_xlfn.IFS(D969&lt;40000,"Low Income",D969&lt;=80000,"Moderate Income",D969&gt;80000,"High Income")</f>
        <v>Moderate Income</v>
      </c>
      <c r="F969">
        <v>3</v>
      </c>
      <c r="G969" t="s">
        <v>15</v>
      </c>
      <c r="H969" t="s">
        <v>31</v>
      </c>
      <c r="I969" t="s">
        <v>17</v>
      </c>
      <c r="J969">
        <v>1</v>
      </c>
      <c r="K969" t="s">
        <v>29</v>
      </c>
      <c r="L969" t="s">
        <v>35</v>
      </c>
      <c r="M969">
        <v>56</v>
      </c>
      <c r="N969" t="str">
        <f t="shared" si="15"/>
        <v>Middle-Aged</v>
      </c>
      <c r="O969" t="s">
        <v>20</v>
      </c>
    </row>
    <row r="970" spans="1:15">
      <c r="A970">
        <v>18329</v>
      </c>
      <c r="B970" t="s">
        <v>64</v>
      </c>
      <c r="C970" t="s">
        <v>49</v>
      </c>
      <c r="D970" s="1">
        <v>30000</v>
      </c>
      <c r="E970" t="str" cm="1">
        <f t="array" ref="E970">_xlfn.IFS(D970&lt;40000,"Low Income",D970&lt;=80000,"Moderate Income",D970&gt;80000,"High Income")</f>
        <v>Low Income</v>
      </c>
      <c r="F970">
        <v>0</v>
      </c>
      <c r="G970" t="s">
        <v>32</v>
      </c>
      <c r="H970" t="s">
        <v>22</v>
      </c>
      <c r="I970" t="s">
        <v>20</v>
      </c>
      <c r="J970">
        <v>2</v>
      </c>
      <c r="K970" t="s">
        <v>26</v>
      </c>
      <c r="L970" t="s">
        <v>35</v>
      </c>
      <c r="M970">
        <v>27</v>
      </c>
      <c r="N970" t="str">
        <f t="shared" si="15"/>
        <v>Young Adults</v>
      </c>
      <c r="O970" t="s">
        <v>20</v>
      </c>
    </row>
    <row r="971" spans="1:15">
      <c r="A971">
        <v>29037</v>
      </c>
      <c r="B971" t="s">
        <v>63</v>
      </c>
      <c r="C971" t="s">
        <v>49</v>
      </c>
      <c r="D971" s="1">
        <v>60000</v>
      </c>
      <c r="E971" t="str" cm="1">
        <f t="array" ref="E971">_xlfn.IFS(D971&lt;40000,"Low Income",D971&lt;=80000,"Moderate Income",D971&gt;80000,"High Income")</f>
        <v>Moderate Income</v>
      </c>
      <c r="F971">
        <v>0</v>
      </c>
      <c r="G971" t="s">
        <v>34</v>
      </c>
      <c r="H971" t="s">
        <v>23</v>
      </c>
      <c r="I971" t="s">
        <v>20</v>
      </c>
      <c r="J971">
        <v>0</v>
      </c>
      <c r="K971" t="s">
        <v>18</v>
      </c>
      <c r="L971" t="s">
        <v>35</v>
      </c>
      <c r="M971">
        <v>39</v>
      </c>
      <c r="N971" t="str">
        <f t="shared" si="15"/>
        <v>Middle-Aged</v>
      </c>
      <c r="O971" t="s">
        <v>20</v>
      </c>
    </row>
    <row r="972" spans="1:15">
      <c r="A972">
        <v>26576</v>
      </c>
      <c r="B972" t="s">
        <v>63</v>
      </c>
      <c r="C972" t="s">
        <v>47</v>
      </c>
      <c r="D972" s="1">
        <v>60000</v>
      </c>
      <c r="E972" t="str" cm="1">
        <f t="array" ref="E972">_xlfn.IFS(D972&lt;40000,"Low Income",D972&lt;=80000,"Moderate Income",D972&gt;80000,"High Income")</f>
        <v>Moderate Income</v>
      </c>
      <c r="F972">
        <v>0</v>
      </c>
      <c r="G972" t="s">
        <v>21</v>
      </c>
      <c r="H972" t="s">
        <v>16</v>
      </c>
      <c r="I972" t="s">
        <v>17</v>
      </c>
      <c r="J972">
        <v>2</v>
      </c>
      <c r="K972" t="s">
        <v>26</v>
      </c>
      <c r="L972" t="s">
        <v>35</v>
      </c>
      <c r="M972">
        <v>31</v>
      </c>
      <c r="N972" t="str">
        <f t="shared" si="15"/>
        <v>Middle-Aged</v>
      </c>
      <c r="O972" t="s">
        <v>20</v>
      </c>
    </row>
    <row r="973" spans="1:15">
      <c r="A973">
        <v>12192</v>
      </c>
      <c r="B973" t="s">
        <v>64</v>
      </c>
      <c r="C973" t="s">
        <v>47</v>
      </c>
      <c r="D973" s="1">
        <v>60000</v>
      </c>
      <c r="E973" t="str" cm="1">
        <f t="array" ref="E973">_xlfn.IFS(D973&lt;40000,"Low Income",D973&lt;=80000,"Moderate Income",D973&gt;80000,"High Income")</f>
        <v>Moderate Income</v>
      </c>
      <c r="F973">
        <v>2</v>
      </c>
      <c r="G973" t="s">
        <v>32</v>
      </c>
      <c r="H973" t="s">
        <v>16</v>
      </c>
      <c r="I973" t="s">
        <v>20</v>
      </c>
      <c r="J973">
        <v>2</v>
      </c>
      <c r="K973" t="s">
        <v>29</v>
      </c>
      <c r="L973" t="s">
        <v>35</v>
      </c>
      <c r="M973">
        <v>51</v>
      </c>
      <c r="N973" t="str">
        <f t="shared" si="15"/>
        <v>Middle-Aged</v>
      </c>
      <c r="O973" t="s">
        <v>20</v>
      </c>
    </row>
    <row r="974" spans="1:15">
      <c r="A974">
        <v>14887</v>
      </c>
      <c r="B974" t="s">
        <v>63</v>
      </c>
      <c r="C974" t="s">
        <v>47</v>
      </c>
      <c r="D974" s="1">
        <v>30000</v>
      </c>
      <c r="E974" t="str" cm="1">
        <f t="array" ref="E974">_xlfn.IFS(D974&lt;40000,"Low Income",D974&lt;=80000,"Moderate Income",D974&gt;80000,"High Income")</f>
        <v>Low Income</v>
      </c>
      <c r="F974">
        <v>1</v>
      </c>
      <c r="G974" t="s">
        <v>30</v>
      </c>
      <c r="H974" t="s">
        <v>22</v>
      </c>
      <c r="I974" t="s">
        <v>17</v>
      </c>
      <c r="J974">
        <v>1</v>
      </c>
      <c r="K974" t="s">
        <v>26</v>
      </c>
      <c r="L974" t="s">
        <v>35</v>
      </c>
      <c r="M974">
        <v>52</v>
      </c>
      <c r="N974" t="str">
        <f t="shared" si="15"/>
        <v>Middle-Aged</v>
      </c>
      <c r="O974" t="s">
        <v>20</v>
      </c>
    </row>
    <row r="975" spans="1:15">
      <c r="A975">
        <v>11734</v>
      </c>
      <c r="B975" t="s">
        <v>63</v>
      </c>
      <c r="C975" t="s">
        <v>49</v>
      </c>
      <c r="D975" s="1">
        <v>60000</v>
      </c>
      <c r="E975" t="str" cm="1">
        <f t="array" ref="E975">_xlfn.IFS(D975&lt;40000,"Low Income",D975&lt;=80000,"Moderate Income",D975&gt;80000,"High Income")</f>
        <v>Moderate Income</v>
      </c>
      <c r="F975">
        <v>1</v>
      </c>
      <c r="G975" t="s">
        <v>21</v>
      </c>
      <c r="H975" t="s">
        <v>16</v>
      </c>
      <c r="I975" t="s">
        <v>20</v>
      </c>
      <c r="J975">
        <v>1</v>
      </c>
      <c r="K975" t="s">
        <v>18</v>
      </c>
      <c r="L975" t="s">
        <v>35</v>
      </c>
      <c r="M975">
        <v>47</v>
      </c>
      <c r="N975" t="str">
        <f t="shared" si="15"/>
        <v>Middle-Aged</v>
      </c>
      <c r="O975" t="s">
        <v>20</v>
      </c>
    </row>
    <row r="976" spans="1:15">
      <c r="A976">
        <v>17462</v>
      </c>
      <c r="B976" t="s">
        <v>63</v>
      </c>
      <c r="C976" t="s">
        <v>49</v>
      </c>
      <c r="D976" s="1">
        <v>70000</v>
      </c>
      <c r="E976" t="str" cm="1">
        <f t="array" ref="E976">_xlfn.IFS(D976&lt;40000,"Low Income",D976&lt;=80000,"Moderate Income",D976&gt;80000,"High Income")</f>
        <v>Moderate Income</v>
      </c>
      <c r="F976">
        <v>3</v>
      </c>
      <c r="G976" t="s">
        <v>34</v>
      </c>
      <c r="H976" t="s">
        <v>31</v>
      </c>
      <c r="I976" t="s">
        <v>17</v>
      </c>
      <c r="J976">
        <v>2</v>
      </c>
      <c r="K976" t="s">
        <v>26</v>
      </c>
      <c r="L976" t="s">
        <v>35</v>
      </c>
      <c r="M976">
        <v>53</v>
      </c>
      <c r="N976" t="str">
        <f t="shared" si="15"/>
        <v>Middle-Aged</v>
      </c>
      <c r="O976" t="s">
        <v>17</v>
      </c>
    </row>
    <row r="977" spans="1:15">
      <c r="A977">
        <v>20659</v>
      </c>
      <c r="B977" t="s">
        <v>63</v>
      </c>
      <c r="C977" t="s">
        <v>49</v>
      </c>
      <c r="D977" s="1">
        <v>70000</v>
      </c>
      <c r="E977" t="str" cm="1">
        <f t="array" ref="E977">_xlfn.IFS(D977&lt;40000,"Low Income",D977&lt;=80000,"Moderate Income",D977&gt;80000,"High Income")</f>
        <v>Moderate Income</v>
      </c>
      <c r="F977">
        <v>3</v>
      </c>
      <c r="G977" t="s">
        <v>34</v>
      </c>
      <c r="H977" t="s">
        <v>23</v>
      </c>
      <c r="I977" t="s">
        <v>17</v>
      </c>
      <c r="J977">
        <v>0</v>
      </c>
      <c r="K977" t="s">
        <v>18</v>
      </c>
      <c r="L977" t="s">
        <v>35</v>
      </c>
      <c r="M977">
        <v>35</v>
      </c>
      <c r="N977" t="str">
        <f t="shared" si="15"/>
        <v>Middle-Aged</v>
      </c>
      <c r="O977" t="s">
        <v>17</v>
      </c>
    </row>
    <row r="978" spans="1:15">
      <c r="A978">
        <v>28004</v>
      </c>
      <c r="B978" t="s">
        <v>63</v>
      </c>
      <c r="C978" t="s">
        <v>47</v>
      </c>
      <c r="D978" s="1">
        <v>60000</v>
      </c>
      <c r="E978" t="str" cm="1">
        <f t="array" ref="E978">_xlfn.IFS(D978&lt;40000,"Low Income",D978&lt;=80000,"Moderate Income",D978&gt;80000,"High Income")</f>
        <v>Moderate Income</v>
      </c>
      <c r="F978">
        <v>3</v>
      </c>
      <c r="G978" t="s">
        <v>15</v>
      </c>
      <c r="H978" t="s">
        <v>31</v>
      </c>
      <c r="I978" t="s">
        <v>17</v>
      </c>
      <c r="J978">
        <v>2</v>
      </c>
      <c r="K978" t="s">
        <v>61</v>
      </c>
      <c r="L978" t="s">
        <v>35</v>
      </c>
      <c r="M978">
        <v>66</v>
      </c>
      <c r="N978" t="str">
        <f t="shared" si="15"/>
        <v>Seniors</v>
      </c>
      <c r="O978" t="s">
        <v>20</v>
      </c>
    </row>
    <row r="979" spans="1:15">
      <c r="A979">
        <v>19741</v>
      </c>
      <c r="B979" t="s">
        <v>64</v>
      </c>
      <c r="C979" t="s">
        <v>47</v>
      </c>
      <c r="D979" s="1">
        <v>80000</v>
      </c>
      <c r="E979" t="str" cm="1">
        <f t="array" ref="E979">_xlfn.IFS(D979&lt;40000,"Low Income",D979&lt;=80000,"Moderate Income",D979&gt;80000,"High Income")</f>
        <v>Moderate Income</v>
      </c>
      <c r="F979">
        <v>4</v>
      </c>
      <c r="G979" t="s">
        <v>34</v>
      </c>
      <c r="H979" t="s">
        <v>31</v>
      </c>
      <c r="I979" t="s">
        <v>17</v>
      </c>
      <c r="J979">
        <v>2</v>
      </c>
      <c r="K979" t="s">
        <v>26</v>
      </c>
      <c r="L979" t="s">
        <v>35</v>
      </c>
      <c r="M979">
        <v>65</v>
      </c>
      <c r="N979" t="str">
        <f t="shared" si="15"/>
        <v>Seniors</v>
      </c>
      <c r="O979" t="s">
        <v>20</v>
      </c>
    </row>
    <row r="980" spans="1:15">
      <c r="A980">
        <v>17450</v>
      </c>
      <c r="B980" t="s">
        <v>63</v>
      </c>
      <c r="C980" t="s">
        <v>49</v>
      </c>
      <c r="D980" s="1">
        <v>80000</v>
      </c>
      <c r="E980" t="str" cm="1">
        <f t="array" ref="E980">_xlfn.IFS(D980&lt;40000,"Low Income",D980&lt;=80000,"Moderate Income",D980&gt;80000,"High Income")</f>
        <v>Moderate Income</v>
      </c>
      <c r="F980">
        <v>5</v>
      </c>
      <c r="G980" t="s">
        <v>21</v>
      </c>
      <c r="H980" t="s">
        <v>23</v>
      </c>
      <c r="I980" t="s">
        <v>17</v>
      </c>
      <c r="J980">
        <v>3</v>
      </c>
      <c r="K980" t="s">
        <v>26</v>
      </c>
      <c r="L980" t="s">
        <v>35</v>
      </c>
      <c r="M980">
        <v>45</v>
      </c>
      <c r="N980" t="str">
        <f t="shared" si="15"/>
        <v>Middle-Aged</v>
      </c>
      <c r="O980" t="s">
        <v>20</v>
      </c>
    </row>
    <row r="981" spans="1:15">
      <c r="A981">
        <v>17337</v>
      </c>
      <c r="B981" t="s">
        <v>64</v>
      </c>
      <c r="C981" t="s">
        <v>49</v>
      </c>
      <c r="D981" s="1">
        <v>40000</v>
      </c>
      <c r="E981" t="str" cm="1">
        <f t="array" ref="E981">_xlfn.IFS(D981&lt;40000,"Low Income",D981&lt;=80000,"Moderate Income",D981&gt;80000,"High Income")</f>
        <v>Moderate Income</v>
      </c>
      <c r="F981">
        <v>0</v>
      </c>
      <c r="G981" t="s">
        <v>30</v>
      </c>
      <c r="H981" t="s">
        <v>16</v>
      </c>
      <c r="I981" t="s">
        <v>17</v>
      </c>
      <c r="J981">
        <v>1</v>
      </c>
      <c r="K981" t="s">
        <v>26</v>
      </c>
      <c r="L981" t="s">
        <v>35</v>
      </c>
      <c r="M981">
        <v>31</v>
      </c>
      <c r="N981" t="str">
        <f t="shared" si="15"/>
        <v>Middle-Aged</v>
      </c>
      <c r="O981" t="s">
        <v>20</v>
      </c>
    </row>
    <row r="982" spans="1:15">
      <c r="A982">
        <v>18594</v>
      </c>
      <c r="B982" t="s">
        <v>64</v>
      </c>
      <c r="C982" t="s">
        <v>47</v>
      </c>
      <c r="D982" s="1">
        <v>80000</v>
      </c>
      <c r="E982" t="str" cm="1">
        <f t="array" ref="E982">_xlfn.IFS(D982&lt;40000,"Low Income",D982&lt;=80000,"Moderate Income",D982&gt;80000,"High Income")</f>
        <v>Moderate Income</v>
      </c>
      <c r="F982">
        <v>3</v>
      </c>
      <c r="G982" t="s">
        <v>15</v>
      </c>
      <c r="H982" t="s">
        <v>16</v>
      </c>
      <c r="I982" t="s">
        <v>17</v>
      </c>
      <c r="J982">
        <v>3</v>
      </c>
      <c r="K982" t="s">
        <v>61</v>
      </c>
      <c r="L982" t="s">
        <v>35</v>
      </c>
      <c r="M982">
        <v>40</v>
      </c>
      <c r="N982" t="str">
        <f t="shared" si="15"/>
        <v>Middle-Aged</v>
      </c>
      <c r="O982" t="s">
        <v>17</v>
      </c>
    </row>
    <row r="983" spans="1:15">
      <c r="A983">
        <v>15982</v>
      </c>
      <c r="B983" t="s">
        <v>63</v>
      </c>
      <c r="C983" t="s">
        <v>49</v>
      </c>
      <c r="D983" s="1">
        <v>110000</v>
      </c>
      <c r="E983" t="str" cm="1">
        <f t="array" ref="E983">_xlfn.IFS(D983&lt;40000,"Low Income",D983&lt;=80000,"Moderate Income",D983&gt;80000,"High Income")</f>
        <v>High Income</v>
      </c>
      <c r="F983">
        <v>5</v>
      </c>
      <c r="G983" t="s">
        <v>21</v>
      </c>
      <c r="H983" t="s">
        <v>23</v>
      </c>
      <c r="I983" t="s">
        <v>17</v>
      </c>
      <c r="J983">
        <v>4</v>
      </c>
      <c r="K983" t="s">
        <v>24</v>
      </c>
      <c r="L983" t="s">
        <v>35</v>
      </c>
      <c r="M983">
        <v>46</v>
      </c>
      <c r="N983" t="str">
        <f t="shared" si="15"/>
        <v>Middle-Aged</v>
      </c>
      <c r="O983" t="s">
        <v>20</v>
      </c>
    </row>
    <row r="984" spans="1:15">
      <c r="A984">
        <v>28625</v>
      </c>
      <c r="B984" t="s">
        <v>64</v>
      </c>
      <c r="C984" t="s">
        <v>49</v>
      </c>
      <c r="D984" s="1">
        <v>40000</v>
      </c>
      <c r="E984" t="str" cm="1">
        <f t="array" ref="E984">_xlfn.IFS(D984&lt;40000,"Low Income",D984&lt;=80000,"Moderate Income",D984&gt;80000,"High Income")</f>
        <v>Moderate Income</v>
      </c>
      <c r="F984">
        <v>2</v>
      </c>
      <c r="G984" t="s">
        <v>21</v>
      </c>
      <c r="H984" t="s">
        <v>22</v>
      </c>
      <c r="I984" t="s">
        <v>20</v>
      </c>
      <c r="J984">
        <v>1</v>
      </c>
      <c r="K984" t="s">
        <v>29</v>
      </c>
      <c r="L984" t="s">
        <v>35</v>
      </c>
      <c r="M984">
        <v>47</v>
      </c>
      <c r="N984" t="str">
        <f t="shared" si="15"/>
        <v>Middle-Aged</v>
      </c>
      <c r="O984" t="s">
        <v>17</v>
      </c>
    </row>
    <row r="985" spans="1:15">
      <c r="A985">
        <v>11269</v>
      </c>
      <c r="B985" t="s">
        <v>63</v>
      </c>
      <c r="C985" t="s">
        <v>49</v>
      </c>
      <c r="D985" s="1">
        <v>130000</v>
      </c>
      <c r="E985" t="str" cm="1">
        <f t="array" ref="E985">_xlfn.IFS(D985&lt;40000,"Low Income",D985&lt;=80000,"Moderate Income",D985&gt;80000,"High Income")</f>
        <v>High Income</v>
      </c>
      <c r="F985">
        <v>2</v>
      </c>
      <c r="G985" t="s">
        <v>34</v>
      </c>
      <c r="H985" t="s">
        <v>31</v>
      </c>
      <c r="I985" t="s">
        <v>17</v>
      </c>
      <c r="J985">
        <v>2</v>
      </c>
      <c r="K985" t="s">
        <v>18</v>
      </c>
      <c r="L985" t="s">
        <v>35</v>
      </c>
      <c r="M985">
        <v>41</v>
      </c>
      <c r="N985" t="str">
        <f t="shared" si="15"/>
        <v>Middle-Aged</v>
      </c>
      <c r="O985" t="s">
        <v>20</v>
      </c>
    </row>
    <row r="986" spans="1:15">
      <c r="A986">
        <v>25148</v>
      </c>
      <c r="B986" t="s">
        <v>63</v>
      </c>
      <c r="C986" t="s">
        <v>49</v>
      </c>
      <c r="D986" s="1">
        <v>60000</v>
      </c>
      <c r="E986" t="str" cm="1">
        <f t="array" ref="E986">_xlfn.IFS(D986&lt;40000,"Low Income",D986&lt;=80000,"Moderate Income",D986&gt;80000,"High Income")</f>
        <v>Moderate Income</v>
      </c>
      <c r="F986">
        <v>2</v>
      </c>
      <c r="G986" t="s">
        <v>30</v>
      </c>
      <c r="H986" t="s">
        <v>23</v>
      </c>
      <c r="I986" t="s">
        <v>20</v>
      </c>
      <c r="J986">
        <v>2</v>
      </c>
      <c r="K986" t="s">
        <v>29</v>
      </c>
      <c r="L986" t="s">
        <v>35</v>
      </c>
      <c r="M986">
        <v>48</v>
      </c>
      <c r="N986" t="str">
        <f t="shared" si="15"/>
        <v>Middle-Aged</v>
      </c>
      <c r="O986" t="s">
        <v>17</v>
      </c>
    </row>
    <row r="987" spans="1:15">
      <c r="A987">
        <v>13920</v>
      </c>
      <c r="B987" t="s">
        <v>64</v>
      </c>
      <c r="C987" t="s">
        <v>47</v>
      </c>
      <c r="D987" s="1">
        <v>50000</v>
      </c>
      <c r="E987" t="str" cm="1">
        <f t="array" ref="E987">_xlfn.IFS(D987&lt;40000,"Low Income",D987&lt;=80000,"Moderate Income",D987&gt;80000,"High Income")</f>
        <v>Moderate Income</v>
      </c>
      <c r="F987">
        <v>4</v>
      </c>
      <c r="G987" t="s">
        <v>15</v>
      </c>
      <c r="H987" t="s">
        <v>16</v>
      </c>
      <c r="I987" t="s">
        <v>17</v>
      </c>
      <c r="J987">
        <v>2</v>
      </c>
      <c r="K987" t="s">
        <v>18</v>
      </c>
      <c r="L987" t="s">
        <v>35</v>
      </c>
      <c r="M987">
        <v>42</v>
      </c>
      <c r="N987" t="str">
        <f t="shared" si="15"/>
        <v>Middle-Aged</v>
      </c>
      <c r="O987" t="s">
        <v>20</v>
      </c>
    </row>
    <row r="988" spans="1:15">
      <c r="A988">
        <v>23704</v>
      </c>
      <c r="B988" t="s">
        <v>64</v>
      </c>
      <c r="C988" t="s">
        <v>49</v>
      </c>
      <c r="D988" s="1">
        <v>40000</v>
      </c>
      <c r="E988" t="str" cm="1">
        <f t="array" ref="E988">_xlfn.IFS(D988&lt;40000,"Low Income",D988&lt;=80000,"Moderate Income",D988&gt;80000,"High Income")</f>
        <v>Moderate Income</v>
      </c>
      <c r="F988">
        <v>5</v>
      </c>
      <c r="G988" t="s">
        <v>30</v>
      </c>
      <c r="H988" t="s">
        <v>23</v>
      </c>
      <c r="I988" t="s">
        <v>17</v>
      </c>
      <c r="J988">
        <v>4</v>
      </c>
      <c r="K988" t="s">
        <v>61</v>
      </c>
      <c r="L988" t="s">
        <v>35</v>
      </c>
      <c r="M988">
        <v>60</v>
      </c>
      <c r="N988" t="str">
        <f t="shared" si="15"/>
        <v>Seniors</v>
      </c>
      <c r="O988" t="s">
        <v>17</v>
      </c>
    </row>
    <row r="989" spans="1:15">
      <c r="A989">
        <v>28972</v>
      </c>
      <c r="B989" t="s">
        <v>64</v>
      </c>
      <c r="C989" t="s">
        <v>47</v>
      </c>
      <c r="D989" s="1">
        <v>60000</v>
      </c>
      <c r="E989" t="str" cm="1">
        <f t="array" ref="E989">_xlfn.IFS(D989&lt;40000,"Low Income",D989&lt;=80000,"Moderate Income",D989&gt;80000,"High Income")</f>
        <v>Moderate Income</v>
      </c>
      <c r="F989">
        <v>3</v>
      </c>
      <c r="G989" t="s">
        <v>34</v>
      </c>
      <c r="H989" t="s">
        <v>31</v>
      </c>
      <c r="I989" t="s">
        <v>17</v>
      </c>
      <c r="J989">
        <v>2</v>
      </c>
      <c r="K989" t="s">
        <v>61</v>
      </c>
      <c r="L989" t="s">
        <v>35</v>
      </c>
      <c r="M989">
        <v>66</v>
      </c>
      <c r="N989" t="str">
        <f t="shared" si="15"/>
        <v>Seniors</v>
      </c>
      <c r="O989" t="s">
        <v>20</v>
      </c>
    </row>
    <row r="990" spans="1:15">
      <c r="A990">
        <v>22730</v>
      </c>
      <c r="B990" t="s">
        <v>63</v>
      </c>
      <c r="C990" t="s">
        <v>49</v>
      </c>
      <c r="D990" s="1">
        <v>70000</v>
      </c>
      <c r="E990" t="str" cm="1">
        <f t="array" ref="E990">_xlfn.IFS(D990&lt;40000,"Low Income",D990&lt;=80000,"Moderate Income",D990&gt;80000,"High Income")</f>
        <v>Moderate Income</v>
      </c>
      <c r="F990">
        <v>5</v>
      </c>
      <c r="G990" t="s">
        <v>15</v>
      </c>
      <c r="H990" t="s">
        <v>31</v>
      </c>
      <c r="I990" t="s">
        <v>17</v>
      </c>
      <c r="J990">
        <v>2</v>
      </c>
      <c r="K990" t="s">
        <v>61</v>
      </c>
      <c r="L990" t="s">
        <v>35</v>
      </c>
      <c r="M990">
        <v>63</v>
      </c>
      <c r="N990" t="str">
        <f t="shared" si="15"/>
        <v>Seniors</v>
      </c>
      <c r="O990" t="s">
        <v>20</v>
      </c>
    </row>
    <row r="991" spans="1:15">
      <c r="A991">
        <v>29134</v>
      </c>
      <c r="B991" t="s">
        <v>63</v>
      </c>
      <c r="C991" t="s">
        <v>49</v>
      </c>
      <c r="D991" s="1">
        <v>60000</v>
      </c>
      <c r="E991" t="str" cm="1">
        <f t="array" ref="E991">_xlfn.IFS(D991&lt;40000,"Low Income",D991&lt;=80000,"Moderate Income",D991&gt;80000,"High Income")</f>
        <v>Moderate Income</v>
      </c>
      <c r="F991">
        <v>4</v>
      </c>
      <c r="G991" t="s">
        <v>15</v>
      </c>
      <c r="H991" t="s">
        <v>16</v>
      </c>
      <c r="I991" t="s">
        <v>20</v>
      </c>
      <c r="J991">
        <v>3</v>
      </c>
      <c r="K991" t="s">
        <v>61</v>
      </c>
      <c r="L991" t="s">
        <v>35</v>
      </c>
      <c r="M991">
        <v>42</v>
      </c>
      <c r="N991" t="str">
        <f t="shared" si="15"/>
        <v>Middle-Aged</v>
      </c>
      <c r="O991" t="s">
        <v>20</v>
      </c>
    </row>
    <row r="992" spans="1:15">
      <c r="A992">
        <v>14332</v>
      </c>
      <c r="B992" t="s">
        <v>64</v>
      </c>
      <c r="C992" t="s">
        <v>47</v>
      </c>
      <c r="D992" s="1">
        <v>30000</v>
      </c>
      <c r="E992" t="str" cm="1">
        <f t="array" ref="E992">_xlfn.IFS(D992&lt;40000,"Low Income",D992&lt;=80000,"Moderate Income",D992&gt;80000,"High Income")</f>
        <v>Low Income</v>
      </c>
      <c r="F992">
        <v>0</v>
      </c>
      <c r="G992" t="s">
        <v>30</v>
      </c>
      <c r="H992" t="s">
        <v>16</v>
      </c>
      <c r="I992" t="s">
        <v>20</v>
      </c>
      <c r="J992">
        <v>2</v>
      </c>
      <c r="K992" t="s">
        <v>26</v>
      </c>
      <c r="L992" t="s">
        <v>35</v>
      </c>
      <c r="M992">
        <v>26</v>
      </c>
      <c r="N992" t="str">
        <f t="shared" si="15"/>
        <v>Young Adults</v>
      </c>
      <c r="O992" t="s">
        <v>20</v>
      </c>
    </row>
    <row r="993" spans="1:15">
      <c r="A993">
        <v>19117</v>
      </c>
      <c r="B993" t="s">
        <v>64</v>
      </c>
      <c r="C993" t="s">
        <v>47</v>
      </c>
      <c r="D993" s="1">
        <v>60000</v>
      </c>
      <c r="E993" t="str" cm="1">
        <f t="array" ref="E993">_xlfn.IFS(D993&lt;40000,"Low Income",D993&lt;=80000,"Moderate Income",D993&gt;80000,"High Income")</f>
        <v>Moderate Income</v>
      </c>
      <c r="F993">
        <v>1</v>
      </c>
      <c r="G993" t="s">
        <v>34</v>
      </c>
      <c r="H993" t="s">
        <v>23</v>
      </c>
      <c r="I993" t="s">
        <v>17</v>
      </c>
      <c r="J993">
        <v>0</v>
      </c>
      <c r="K993" t="s">
        <v>24</v>
      </c>
      <c r="L993" t="s">
        <v>35</v>
      </c>
      <c r="M993">
        <v>36</v>
      </c>
      <c r="N993" t="str">
        <f t="shared" si="15"/>
        <v>Middle-Aged</v>
      </c>
      <c r="O993" t="s">
        <v>17</v>
      </c>
    </row>
    <row r="994" spans="1:15">
      <c r="A994">
        <v>22864</v>
      </c>
      <c r="B994" t="s">
        <v>63</v>
      </c>
      <c r="C994" t="s">
        <v>49</v>
      </c>
      <c r="D994" s="1">
        <v>90000</v>
      </c>
      <c r="E994" t="str" cm="1">
        <f t="array" ref="E994">_xlfn.IFS(D994&lt;40000,"Low Income",D994&lt;=80000,"Moderate Income",D994&gt;80000,"High Income")</f>
        <v>High Income</v>
      </c>
      <c r="F994">
        <v>2</v>
      </c>
      <c r="G994" t="s">
        <v>21</v>
      </c>
      <c r="H994" t="s">
        <v>23</v>
      </c>
      <c r="I994" t="s">
        <v>20</v>
      </c>
      <c r="J994">
        <v>0</v>
      </c>
      <c r="K994" t="s">
        <v>26</v>
      </c>
      <c r="L994" t="s">
        <v>35</v>
      </c>
      <c r="M994">
        <v>49</v>
      </c>
      <c r="N994" t="str">
        <f t="shared" si="15"/>
        <v>Middle-Aged</v>
      </c>
      <c r="O994" t="s">
        <v>17</v>
      </c>
    </row>
    <row r="995" spans="1:15">
      <c r="A995">
        <v>11292</v>
      </c>
      <c r="B995" t="s">
        <v>64</v>
      </c>
      <c r="C995" t="s">
        <v>49</v>
      </c>
      <c r="D995" s="1">
        <v>150000</v>
      </c>
      <c r="E995" t="str" cm="1">
        <f t="array" ref="E995">_xlfn.IFS(D995&lt;40000,"Low Income",D995&lt;=80000,"Moderate Income",D995&gt;80000,"High Income")</f>
        <v>High Income</v>
      </c>
      <c r="F995">
        <v>1</v>
      </c>
      <c r="G995" t="s">
        <v>21</v>
      </c>
      <c r="H995" t="s">
        <v>23</v>
      </c>
      <c r="I995" t="s">
        <v>20</v>
      </c>
      <c r="J995">
        <v>3</v>
      </c>
      <c r="K995" t="s">
        <v>18</v>
      </c>
      <c r="L995" t="s">
        <v>35</v>
      </c>
      <c r="M995">
        <v>44</v>
      </c>
      <c r="N995" t="str">
        <f t="shared" si="15"/>
        <v>Middle-Aged</v>
      </c>
      <c r="O995" t="s">
        <v>17</v>
      </c>
    </row>
    <row r="996" spans="1:15">
      <c r="A996">
        <v>13466</v>
      </c>
      <c r="B996" t="s">
        <v>63</v>
      </c>
      <c r="C996" t="s">
        <v>49</v>
      </c>
      <c r="D996" s="1">
        <v>80000</v>
      </c>
      <c r="E996" t="str" cm="1">
        <f t="array" ref="E996">_xlfn.IFS(D996&lt;40000,"Low Income",D996&lt;=80000,"Moderate Income",D996&gt;80000,"High Income")</f>
        <v>Moderate Income</v>
      </c>
      <c r="F996">
        <v>5</v>
      </c>
      <c r="G996" t="s">
        <v>21</v>
      </c>
      <c r="H996" t="s">
        <v>23</v>
      </c>
      <c r="I996" t="s">
        <v>17</v>
      </c>
      <c r="J996">
        <v>3</v>
      </c>
      <c r="K996" t="s">
        <v>29</v>
      </c>
      <c r="L996" t="s">
        <v>35</v>
      </c>
      <c r="M996">
        <v>46</v>
      </c>
      <c r="N996" t="str">
        <f t="shared" si="15"/>
        <v>Middle-Aged</v>
      </c>
      <c r="O996" t="s">
        <v>20</v>
      </c>
    </row>
    <row r="997" spans="1:15">
      <c r="A997">
        <v>23731</v>
      </c>
      <c r="B997" t="s">
        <v>63</v>
      </c>
      <c r="C997" t="s">
        <v>49</v>
      </c>
      <c r="D997" s="1">
        <v>60000</v>
      </c>
      <c r="E997" t="str" cm="1">
        <f t="array" ref="E997">_xlfn.IFS(D997&lt;40000,"Low Income",D997&lt;=80000,"Moderate Income",D997&gt;80000,"High Income")</f>
        <v>Moderate Income</v>
      </c>
      <c r="F997">
        <v>2</v>
      </c>
      <c r="G997" t="s">
        <v>30</v>
      </c>
      <c r="H997" t="s">
        <v>23</v>
      </c>
      <c r="I997" t="s">
        <v>17</v>
      </c>
      <c r="J997">
        <v>2</v>
      </c>
      <c r="K997" t="s">
        <v>24</v>
      </c>
      <c r="L997" t="s">
        <v>35</v>
      </c>
      <c r="M997">
        <v>54</v>
      </c>
      <c r="N997" t="str">
        <f t="shared" si="15"/>
        <v>Middle-Aged</v>
      </c>
      <c r="O997" t="s">
        <v>17</v>
      </c>
    </row>
    <row r="998" spans="1:15">
      <c r="A998">
        <v>28672</v>
      </c>
      <c r="B998" t="s">
        <v>64</v>
      </c>
      <c r="C998" t="s">
        <v>49</v>
      </c>
      <c r="D998" s="1">
        <v>70000</v>
      </c>
      <c r="E998" t="str" cm="1">
        <f t="array" ref="E998">_xlfn.IFS(D998&lt;40000,"Low Income",D998&lt;=80000,"Moderate Income",D998&gt;80000,"High Income")</f>
        <v>Moderate Income</v>
      </c>
      <c r="F998">
        <v>4</v>
      </c>
      <c r="G998" t="s">
        <v>34</v>
      </c>
      <c r="H998" t="s">
        <v>23</v>
      </c>
      <c r="I998" t="s">
        <v>17</v>
      </c>
      <c r="J998">
        <v>0</v>
      </c>
      <c r="K998" t="s">
        <v>24</v>
      </c>
      <c r="L998" t="s">
        <v>35</v>
      </c>
      <c r="M998">
        <v>35</v>
      </c>
      <c r="N998" t="str">
        <f t="shared" si="15"/>
        <v>Middle-Aged</v>
      </c>
      <c r="O998" t="s">
        <v>17</v>
      </c>
    </row>
    <row r="999" spans="1:15">
      <c r="A999">
        <v>11809</v>
      </c>
      <c r="B999" t="s">
        <v>63</v>
      </c>
      <c r="C999" t="s">
        <v>49</v>
      </c>
      <c r="D999" s="1">
        <v>60000</v>
      </c>
      <c r="E999" t="str" cm="1">
        <f t="array" ref="E999">_xlfn.IFS(D999&lt;40000,"Low Income",D999&lt;=80000,"Moderate Income",D999&gt;80000,"High Income")</f>
        <v>Moderate Income</v>
      </c>
      <c r="F999">
        <v>2</v>
      </c>
      <c r="G999" t="s">
        <v>15</v>
      </c>
      <c r="H999" t="s">
        <v>16</v>
      </c>
      <c r="I999" t="s">
        <v>17</v>
      </c>
      <c r="J999">
        <v>0</v>
      </c>
      <c r="K999" t="s">
        <v>18</v>
      </c>
      <c r="L999" t="s">
        <v>35</v>
      </c>
      <c r="M999">
        <v>38</v>
      </c>
      <c r="N999" t="str">
        <f t="shared" si="15"/>
        <v>Middle-Aged</v>
      </c>
      <c r="O999" t="s">
        <v>17</v>
      </c>
    </row>
    <row r="1000" spans="1:15">
      <c r="A1000">
        <v>19664</v>
      </c>
      <c r="B1000" t="s">
        <v>64</v>
      </c>
      <c r="C1000" t="s">
        <v>49</v>
      </c>
      <c r="D1000" s="1">
        <v>100000</v>
      </c>
      <c r="E1000" t="str" cm="1">
        <f t="array" ref="E1000">_xlfn.IFS(D1000&lt;40000,"Low Income",D1000&lt;=80000,"Moderate Income",D1000&gt;80000,"High Income")</f>
        <v>High Income</v>
      </c>
      <c r="F1000">
        <v>3</v>
      </c>
      <c r="G1000" t="s">
        <v>15</v>
      </c>
      <c r="H1000" t="s">
        <v>31</v>
      </c>
      <c r="I1000" t="s">
        <v>20</v>
      </c>
      <c r="J1000">
        <v>3</v>
      </c>
      <c r="K1000" t="s">
        <v>29</v>
      </c>
      <c r="L1000" t="s">
        <v>35</v>
      </c>
      <c r="M1000">
        <v>38</v>
      </c>
      <c r="N1000" t="str">
        <f t="shared" si="15"/>
        <v>Middle-Aged</v>
      </c>
      <c r="O1000" t="s">
        <v>20</v>
      </c>
    </row>
    <row r="1001" spans="1:15">
      <c r="A1001">
        <v>12121</v>
      </c>
      <c r="B1001" t="s">
        <v>64</v>
      </c>
      <c r="C1001" t="s">
        <v>49</v>
      </c>
      <c r="D1001" s="1">
        <v>60000</v>
      </c>
      <c r="E1001" t="str" cm="1">
        <f t="array" ref="E1001">_xlfn.IFS(D1001&lt;40000,"Low Income",D1001&lt;=80000,"Moderate Income",D1001&gt;80000,"High Income")</f>
        <v>Moderate Income</v>
      </c>
      <c r="F1001">
        <v>3</v>
      </c>
      <c r="G1001" t="s">
        <v>30</v>
      </c>
      <c r="H1001" t="s">
        <v>23</v>
      </c>
      <c r="I1001" t="s">
        <v>17</v>
      </c>
      <c r="J1001">
        <v>2</v>
      </c>
      <c r="K1001" t="s">
        <v>61</v>
      </c>
      <c r="L1001" t="s">
        <v>35</v>
      </c>
      <c r="M1001">
        <v>53</v>
      </c>
      <c r="N1001" t="str">
        <f t="shared" si="15"/>
        <v>Middle-Aged</v>
      </c>
      <c r="O100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 </vt:lpstr>
      <vt:lpstr>Working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serik</cp:lastModifiedBy>
  <dcterms:created xsi:type="dcterms:W3CDTF">2022-03-18T02:50:00Z</dcterms:created>
  <dcterms:modified xsi:type="dcterms:W3CDTF">2026-10-16T09:48:34Z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EE567901F1D7431281E65EFEDC8A2412_12</vt:lpwstr>
  </property>
</Properties>
</file>